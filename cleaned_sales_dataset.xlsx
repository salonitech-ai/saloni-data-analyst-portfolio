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E8E6C751-FDB2-4A73-A5A0-DC3E6E05CD05}" xr6:coauthVersionLast="47" xr6:coauthVersionMax="47" xr10:uidLastSave="{00000000-0000-0000-0000-000000000000}"/>
  <bookViews>
    <workbookView xWindow="-108" yWindow="-108" windowWidth="23256" windowHeight="12456" firstSheet="2" activeTab="8" xr2:uid="{00000000-000D-0000-FFFF-FFFF00000000}"/>
  </bookViews>
  <sheets>
    <sheet name="data set" sheetId="3" r:id="rId1"/>
    <sheet name="Data dictionary" sheetId="2" r:id="rId2"/>
    <sheet name="cleaned data set" sheetId="1" r:id="rId3"/>
    <sheet name="EDA summary" sheetId="4" r:id="rId4"/>
    <sheet name="Sales By City" sheetId="6" r:id="rId5"/>
    <sheet name="Profit By Product" sheetId="8" r:id="rId6"/>
    <sheet name="Profit vs Loss" sheetId="9" r:id="rId7"/>
    <sheet name="Insights" sheetId="10" r:id="rId8"/>
    <sheet name="KPI" sheetId="11" r:id="rId9"/>
  </sheets>
  <definedNames>
    <definedName name="_xlnm._FilterDatabase" localSheetId="2" hidden="1">'cleaned data set'!$A$1:$I$101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2" i="1"/>
</calcChain>
</file>

<file path=xl/sharedStrings.xml><?xml version="1.0" encoding="utf-8"?>
<sst xmlns="http://schemas.openxmlformats.org/spreadsheetml/2006/main" count="1103" uniqueCount="173">
  <si>
    <t>Order_ID</t>
  </si>
  <si>
    <t>Customer_Name</t>
  </si>
  <si>
    <t>City</t>
  </si>
  <si>
    <t>Order_Date</t>
  </si>
  <si>
    <t>Product</t>
  </si>
  <si>
    <t>Category</t>
  </si>
  <si>
    <t>Sales</t>
  </si>
  <si>
    <t>Quantity</t>
  </si>
  <si>
    <t>Profit</t>
  </si>
  <si>
    <t>ORD001</t>
  </si>
  <si>
    <t>Amit</t>
  </si>
  <si>
    <t>Mumbai</t>
  </si>
  <si>
    <t>Phone</t>
  </si>
  <si>
    <t>Accessories</t>
  </si>
  <si>
    <t>ORD002</t>
  </si>
  <si>
    <t>John</t>
  </si>
  <si>
    <t>Delhi</t>
  </si>
  <si>
    <t>Tablet</t>
  </si>
  <si>
    <t>Electronics</t>
  </si>
  <si>
    <t>ORD003</t>
  </si>
  <si>
    <t>Priya</t>
  </si>
  <si>
    <t>Bangalore</t>
  </si>
  <si>
    <t>ORD004</t>
  </si>
  <si>
    <t>Rahul</t>
  </si>
  <si>
    <t>ORD005</t>
  </si>
  <si>
    <t>Sara</t>
  </si>
  <si>
    <t>ORD006</t>
  </si>
  <si>
    <t>Pune</t>
  </si>
  <si>
    <t>ORD007</t>
  </si>
  <si>
    <t>Laptop</t>
  </si>
  <si>
    <t>ORD008</t>
  </si>
  <si>
    <t>Camera</t>
  </si>
  <si>
    <t>ORD009</t>
  </si>
  <si>
    <t>Headphones</t>
  </si>
  <si>
    <t>ORD010</t>
  </si>
  <si>
    <t>ORD011</t>
  </si>
  <si>
    <t>Neha</t>
  </si>
  <si>
    <t>ORD012</t>
  </si>
  <si>
    <t>ORD013</t>
  </si>
  <si>
    <t>Chennai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</si>
  <si>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</si>
  <si>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</si>
  <si>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</si>
  <si>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</si>
  <si>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</si>
  <si>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</si>
  <si>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</si>
  <si>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</si>
  <si>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</si>
  <si>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</si>
  <si>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</si>
  <si>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</si>
  <si>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</si>
  <si>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</si>
  <si>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</si>
  <si>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</si>
  <si>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</si>
  <si>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</si>
  <si>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</si>
  <si>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</si>
  <si>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</si>
  <si>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</si>
  <si>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</si>
  <si>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</si>
  <si>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</si>
  <si>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</si>
  <si>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</si>
  <si>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</si>
  <si>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</si>
  <si>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</si>
  <si>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</si>
  <si>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</si>
  <si>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</si>
  <si>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</si>
  <si>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</si>
  <si>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</si>
  <si>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</si>
  <si>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</si>
  <si>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</si>
  <si>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</si>
  <si>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</si>
  <si>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</si>
  <si>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</si>
  <si>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</si>
  <si>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</si>
  <si>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</si>
  <si>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</si>
  <si>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</si>
  <si>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</si>
  <si>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</si>
  <si>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</si>
  <si>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</si>
  <si>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</si>
  <si>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</si>
  <si>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</si>
  <si>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</si>
  <si>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</si>
  <si>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</si>
  <si>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</si>
  <si>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</si>
  <si>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</si>
  <si>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</si>
  <si>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</si>
  <si>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</si>
  <si>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</si>
  <si>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</si>
  <si>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</si>
  <si>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</si>
  <si>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</si>
  <si>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</si>
  <si>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</si>
  <si>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</si>
  <si>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</si>
  <si>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</si>
  <si>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</si>
  <si>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</si>
  <si>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</si>
  <si>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</si>
  <si>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</si>
  <si>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</si>
  <si>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</si>
  <si>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</si>
  <si>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</si>
  <si>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</si>
  <si>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</si>
  <si>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</si>
  <si>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</si>
  <si>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Column Name</t>
  </si>
  <si>
    <t>Meaning</t>
  </si>
  <si>
    <t>Data Type</t>
  </si>
  <si>
    <t>Example</t>
  </si>
  <si>
    <t>Unique ID for each order</t>
  </si>
  <si>
    <t>Text</t>
  </si>
  <si>
    <t>Name of customer</t>
  </si>
  <si>
    <t>Customer's city</t>
  </si>
  <si>
    <t>Date when order was placed</t>
  </si>
  <si>
    <t>Date</t>
  </si>
  <si>
    <t>Product purchased</t>
  </si>
  <si>
    <t>Product category</t>
  </si>
  <si>
    <t>Total sale amount (₹)</t>
  </si>
  <si>
    <t>Number</t>
  </si>
  <si>
    <t>Number of items bought</t>
  </si>
  <si>
    <t>Profit made (can be negative)</t>
  </si>
  <si>
    <t>Profit_Type</t>
  </si>
  <si>
    <t xml:space="preserve">  </t>
  </si>
  <si>
    <t>Metric</t>
  </si>
  <si>
    <t>Value</t>
  </si>
  <si>
    <t>Total Sales</t>
  </si>
  <si>
    <t>Average Sales</t>
  </si>
  <si>
    <t>Max Sales</t>
  </si>
  <si>
    <t>Min Sales</t>
  </si>
  <si>
    <t>Total Profit</t>
  </si>
  <si>
    <t>Average Profit</t>
  </si>
  <si>
    <t>Max Profit</t>
  </si>
  <si>
    <t>Min Profit</t>
  </si>
  <si>
    <t>Total Quantity</t>
  </si>
  <si>
    <t>Average Quantity</t>
  </si>
  <si>
    <t>Row Labels</t>
  </si>
  <si>
    <t>Grand Total</t>
  </si>
  <si>
    <t>Sum of Sales</t>
  </si>
  <si>
    <t>loss</t>
  </si>
  <si>
    <t>Sum of Profit</t>
  </si>
  <si>
    <t>Count of Profit_Type</t>
  </si>
  <si>
    <t xml:space="preserve"> Key Insights</t>
  </si>
  <si>
    <t>Mumbai generates the highest sales, while Chennai has the lowest</t>
  </si>
  <si>
    <t>Headphones are the most profitable product, whereas Laptops generate the lowest profit</t>
  </si>
  <si>
    <t>Out of 100 transactions, 71 are profitable and 29 result in losses</t>
  </si>
  <si>
    <t>A significant portion of transactions are profitable, but losses still exist and need attention</t>
  </si>
  <si>
    <t>Profitability varies across different products, indicating scope for optimization</t>
  </si>
  <si>
    <t>Laptops may require pricing or cost optimization due to lower profitability</t>
  </si>
  <si>
    <t>KPI</t>
  </si>
  <si>
    <t>Total Orders</t>
  </si>
  <si>
    <t>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</si>
</sst>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₹&quot;\ #,##0;[Red]&quot;₹&quot;\ \-#,##0"/>
    <numFmt numFmtId="164" formatCode="[$-14009]yyyy/mm/dd;@"/>
    <numFmt numFmtId="165" formatCode="yyyy\-mm\-dd\ 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0" fontId="0" fillId="0" borderId="0" xfId="0" applyAlignment="1">
      <alignment horizontal="left" vertical="center" indent="1"/>
    </xf>
    <xf numFmtId="0" fontId="2" fillId="0" borderId="0" xfId="0" applyFont="1"/>
    <xf numFmtId="10" fontId="0" fillId="0" borderId="0" xfId="0" applyNumberFormat="1" applyAlignment="1">
      <alignment horizontal="center"/>
    </xf>
    <xf numFmtId="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[cleaned_sales_dataset.xlsx]Sales By City!PivotTable1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'Sales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City'!$A$4:$A$9</c:f>
              <c:strCache>
                <c:ptCount val="5"/>
                <c:pt idx="0">
                  <c:v>Mumbai</c:v>
                </c:pt>
                <c:pt idx="1">
                  <c:v>Pune</c:v>
                </c:pt>
                <c:pt idx="2">
                  <c:v>Delhi</c:v>
                </c:pt>
                <c:pt idx="3">
                  <c:v>Bangalore</c:v>
                </c:pt>
                <c:pt idx="4">
                  <c:v>Chennai</c:v>
                </c:pt>
              </c:strCache>
            </c:strRef>
          </c:cat>
          <c:val>
            <c:numRef>
              <c:f>'Sales By City'!$B$4:$B$9</c:f>
              <c:numCache>
                <c:formatCode>0.00</c:formatCode>
                <c:ptCount val="5"/>
                <c:pt idx="0">
                  <c:v>665618.67999999982</c:v>
                </c:pt>
                <c:pt idx="1">
                  <c:v>623218.93000000005</c:v>
                </c:pt>
                <c:pt idx="2">
                  <c:v>529876.06999999995</c:v>
                </c:pt>
                <c:pt idx="3">
                  <c:v>452534.51</c:v>
                </c:pt>
                <c:pt idx="4">
                  <c:v>428296.2099999999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F3-411D-8F8B-1D5EA2CCF3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3021279"/>
        <c:axId val="933021759"/>
      </c:barChart>
      <c:catAx>
        <c:axId val="9330212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21759"/>
        <c:crosses val="autoZero"/>
        <c:auto val="1"/>
        <c:lblAlgn val="ctr"/>
        <c:lblOffset val="100"/>
        <c:noMultiLvlLbl val="0"/>
      </c:catAx>
      <c:valAx>
        <c:axId val="933021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02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5400" cap="flat" cmpd="sng" algn="ctr">
      <a:solidFill>
        <a:schemeClr val="accent2"/>
      </a:solidFill>
      <a:prstDash val="solid"/>
      <a:round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[cleaned_sales_dataset.xlsx]Profit By Product!Profit By Product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'Profit By Product'!$A$4:$A$9</c:f>
              <c:strCache>
                <c:ptCount val="5"/>
                <c:pt idx="0">
                  <c:v>Headphones</c:v>
                </c:pt>
                <c:pt idx="1">
                  <c:v>Camera</c:v>
                </c:pt>
                <c:pt idx="2">
                  <c:v>Phone</c:v>
                </c:pt>
                <c:pt idx="3">
                  <c:v>Tablet</c:v>
                </c:pt>
                <c:pt idx="4">
                  <c:v>Laptop</c:v>
                </c:pt>
              </c:strCache>
            </c:strRef>
          </c:cat>
          <c:val>
            <c:numRef>
              <c:f>'Profit By Product'!$B$4:$B$9</c:f>
              <c:numCache>
                <c:formatCode>0.00</c:formatCode>
                <c:ptCount val="5"/>
                <c:pt idx="0">
                  <c:v>104633.26999999999</c:v>
                </c:pt>
                <c:pt idx="1">
                  <c:v>102979.8</c:v>
                </c:pt>
                <c:pt idx="2">
                  <c:v>88978.81</c:v>
                </c:pt>
                <c:pt idx="3">
                  <c:v>66969.48</c:v>
                </c:pt>
                <c:pt idx="4">
                  <c:v>61602.640000000007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0-438E-ABDC-9B25128823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29502239"/>
        <c:axId val="929503199"/>
      </c:barChart>
      <c:catAx>
        <c:axId val="929502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03199"/>
        <c:crosses val="autoZero"/>
        <c:auto val="1"/>
        <c:lblAlgn val="ctr"/>
        <c:lblOffset val="100"/>
        <c:noMultiLvlLbl val="0"/>
      </c:catAx>
      <c:valAx>
        <c:axId val="929503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95022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rotWithShape="1">
      <a:gsLst>
        <a:gs pos="0">
          <a:schemeClr val="accent4">
            <a:tint val="50000"/>
            <a:satMod val="300000"/>
          </a:schemeClr>
        </a:gs>
        <a:gs pos="35000">
          <a:schemeClr val="accent4">
            <a:tint val="37000"/>
            <a:satMod val="300000"/>
          </a:schemeClr>
        </a:gs>
        <a:gs pos="100000">
          <a:schemeClr val="accent4">
            <a:tint val="15000"/>
            <a:satMod val="350000"/>
          </a:schemeClr>
        </a:gs>
      </a:gsLst>
      <a:lin ang="16200000" scaled="1"/>
    </a:gradFill>
    <a:ln w="9525" cap="flat" cmpd="sng" algn="ctr">
      <a:solidFill>
        <a:schemeClr val="accent4">
          <a:shade val="95000"/>
          <a:satMod val="105000"/>
        </a:schemeClr>
      </a:solidFill>
      <a:prstDash val="solid"/>
      <a:round/>
    </a:ln>
    <a:effectLst>
      <a:outerShdw blurRad="40000" dist="20000" dir="5400000" rotWithShape="0">
        <a:srgbClr val="000000">
          <a:alpha val="38000"/>
        </a:srgb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[cleaned_sales_dataset.xlsx]Profit vs Loss!Profit vs Loss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'Profit vs Loss'!$B$3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01-4618-8183-0410389725A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01-4618-8183-0410389725A9}"/>
              </c:ext>
            </c:extLst>
          </c:dPt>
          <c:cat>
            <c:strRef>
              <c:f>'Profit vs Loss'!$A$4:$A$6</c:f>
              <c:strCache>
                <c:ptCount val="2"/>
                <c:pt idx="0">
                  <c:v>Profit</c:v>
                </c:pt>
                <c:pt idx="1">
                  <c:v>loss</c:v>
                </c:pt>
              </c:strCache>
            </c:strRef>
          </c:cat>
          <c:val>
            <c:numRef>
              <c:f>'Profit vs Loss'!$B$4:$B$6</c:f>
              <c:numCache>
                <c:formatCode>General</c:formatCode>
                <c:ptCount val="2"/>
                <c:pt idx="0">
                  <c:v>71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4-45BE-B8AA-D0520692DD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251460</xdr:colOff>
      <xdr:row>5</xdr:row>
      <xdr:rowOff>45720</xdr:rowOff>
    </xdr:from>
    <xdr:to>
      <xdr:col>14</xdr:col>
      <xdr:colOff>91440</xdr:colOff>
      <xdr:row>20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7F9D4-6C26-2522-160C-16F886E55E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5</xdr:row>
      <xdr:rowOff>41910</xdr:rowOff>
    </xdr:from>
    <xdr:to>
      <xdr:col>15</xdr:col>
      <xdr:colOff>144780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CB2EAF-7449-0829-8B18-CC9078A56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5</xdr:row>
      <xdr:rowOff>41910</xdr:rowOff>
    </xdr:from>
    <xdr:to>
      <xdr:col>10</xdr:col>
      <xdr:colOff>548640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57F599-9CDE-CEBD-16F0-175F221A0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33.366096759259" createdVersion="8" refreshedVersion="8" minRefreshableVersion="3" recordCount="100" xr:uid="{E5AA25C0-5FEB-455D-AD89-C962FAB2A55C}">
  <cacheSource type="worksheet">
    <worksheetSource ref="A1:J101" sheet="cleaned data set"/>
  </cacheSource>
  <cacheFields count="10">
    <cacheField name="Order_ID" numFmtId="0">
      <sharedItems/>
    </cacheField>
    <cacheField name="Customer_Name" numFmtId="49">
      <sharedItems/>
    </cacheField>
    <cacheField name="City" numFmtId="49">
      <sharedItems count="5">
        <s v="Mumbai"/>
        <s v="Pune"/>
        <s v="Delhi"/>
        <s v="Bangalore"/>
        <s v="Chennai"/>
      </sharedItems>
    </cacheField>
    <cacheField name="Order_Date" numFmtId="164">
      <sharedItems containsSemiMixedTypes="0" containsNonDate="0" containsDate="1" containsString="0" minDate="2023-01-03T00:00:00" maxDate="2023-12-27T00:00:00"/>
    </cacheField>
    <cacheField name="Product" numFmtId="49">
      <sharedItems count="5">
        <s v="Phone"/>
        <s v="Laptop"/>
        <s v="Camera"/>
        <s v="Headphones"/>
        <s v="Tablet"/>
      </sharedItems>
    </cacheField>
    <cacheField name="Category" numFmtId="49">
      <sharedItems/>
    </cacheField>
    <cacheField name="Sales" numFmtId="2">
      <sharedItems containsSemiMixedTypes="0" containsString="0" containsNumber="1" minValue="1291.98" maxValue="49476.49" count="100">
        <n v="13558.24"/>
        <n v="49460.12"/>
        <n v="42789.26"/>
        <n v="47662.54"/>
        <n v="38624.99"/>
        <n v="16184.28"/>
        <n v="36764.46"/>
        <n v="22808.1"/>
        <n v="26566.79"/>
        <n v="35541.410000000003"/>
        <n v="27997"/>
        <n v="48039.93"/>
        <n v="27619.439999999999"/>
        <n v="5622.95"/>
        <n v="3781.86"/>
        <n v="9312.0400000000009"/>
        <n v="34023.93"/>
        <n v="2741.45"/>
        <n v="8485.59"/>
        <n v="32607.77"/>
        <n v="32935.35"/>
        <n v="28410.32"/>
        <n v="36398.28"/>
        <n v="34503.800000000003"/>
        <n v="23931.49"/>
        <n v="37148.74"/>
        <n v="43210.37"/>
        <n v="21055.360000000001"/>
        <n v="43710.31"/>
        <n v="4752.82"/>
        <n v="27891.39"/>
        <n v="35432.050000000003"/>
        <n v="38101.79"/>
        <n v="43140.78"/>
        <n v="26574.57"/>
        <n v="46529.16"/>
        <n v="10443.450000000001"/>
        <n v="36041.82"/>
        <n v="26649.74"/>
        <n v="5426.29"/>
        <n v="30161.02"/>
        <n v="17725.86"/>
        <n v="43663.62"/>
        <n v="38113.74"/>
        <n v="33141.300000000003"/>
        <n v="39231.08"/>
        <n v="14791.63"/>
        <n v="39757.56"/>
        <n v="10737.16"/>
        <n v="47223.1"/>
        <n v="39576.89"/>
        <n v="16093.96"/>
        <n v="40876.85"/>
        <n v="48219.03"/>
        <n v="5091.95"/>
        <n v="13517.77"/>
        <n v="7002.69"/>
        <n v="16617.55"/>
        <n v="3651.67"/>
        <n v="30642.82"/>
        <n v="32084.58"/>
        <n v="20872.66"/>
        <n v="38445.49"/>
        <n v="19590.55"/>
        <n v="44815.64"/>
        <n v="16702.009999999998"/>
        <n v="8787.41"/>
        <n v="34931.25"/>
        <n v="20071.740000000002"/>
        <n v="37600.86"/>
        <n v="32724.35"/>
        <n v="1291.98"/>
        <n v="24204.21"/>
        <n v="45883.43"/>
        <n v="43947.1"/>
        <n v="44765.02"/>
        <n v="16705.29"/>
        <n v="49476.49"/>
        <n v="6150.04"/>
        <n v="11954.08"/>
        <n v="25145.61"/>
        <n v="1880.72"/>
        <n v="14410.44"/>
        <n v="9479.0499999999993"/>
        <n v="41028.720000000001"/>
        <n v="8411.6200000000008"/>
        <n v="22698.11"/>
        <n v="32903.74"/>
        <n v="39813.15"/>
        <n v="16656.57"/>
        <n v="3029.59"/>
        <n v="35108.92"/>
        <n v="26425.62"/>
        <n v="41400.339999999997"/>
        <n v="20277.55"/>
        <n v="36985.81"/>
        <n v="12930.8"/>
        <n v="22458.66"/>
        <n v="34617.9"/>
        <n v="34560.019999999997"/>
      </sharedItems>
    </cacheField>
    <cacheField name="Quantity" numFmtId="2">
      <sharedItems containsSemiMixedTypes="0" containsString="0" containsNumber="1" containsInteger="1" minValue="1" maxValue="5"/>
    </cacheField>
    <cacheField name="Profit" numFmtId="2">
      <sharedItems containsSemiMixedTypes="0" containsString="0" containsNumber="1" minValue="-4991.33" maxValue="14892.65"/>
    </cacheField>
    <cacheField name="Profit_Type" numFmtId="49">
      <sharedItems count="2">
        <s v="Profit"/>
        <s v="lo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ORD001"/>
    <s v="Amit"/>
    <x v="0"/>
    <d v="2023-11-11T00:00:00"/>
    <x v="0"/>
    <s v="Accessories"/>
    <x v="0"/>
    <n v="4"/>
    <n v="7724.71"/>
    <x v="0"/>
  </r>
  <r>
    <s v="ORD007"/>
    <s v="Amit"/>
    <x v="1"/>
    <d v="2023-08-06T00:00:00"/>
    <x v="1"/>
    <s v="Accessories"/>
    <x v="1"/>
    <n v="5"/>
    <n v="6154.45"/>
    <x v="0"/>
  </r>
  <r>
    <s v="ORD014"/>
    <s v="Amit"/>
    <x v="0"/>
    <d v="2023-12-15T00:00:00"/>
    <x v="2"/>
    <s v="Accessories"/>
    <x v="2"/>
    <n v="1"/>
    <n v="13061.46"/>
    <x v="0"/>
  </r>
  <r>
    <s v="ORD015"/>
    <s v="Amit"/>
    <x v="2"/>
    <d v="2023-10-07T00:00:00"/>
    <x v="2"/>
    <s v="Electronics"/>
    <x v="3"/>
    <n v="1"/>
    <n v="14892.65"/>
    <x v="0"/>
  </r>
  <r>
    <s v="ORD016"/>
    <s v="Amit"/>
    <x v="2"/>
    <d v="2023-08-13T00:00:00"/>
    <x v="3"/>
    <s v="Electronics"/>
    <x v="4"/>
    <n v="3"/>
    <n v="6970.81"/>
    <x v="0"/>
  </r>
  <r>
    <s v="ORD017"/>
    <s v="Amit"/>
    <x v="3"/>
    <d v="2023-08-25T00:00:00"/>
    <x v="0"/>
    <s v="Electronics"/>
    <x v="5"/>
    <n v="4"/>
    <n v="-410.99"/>
    <x v="1"/>
  </r>
  <r>
    <s v="ORD028"/>
    <s v="Amit"/>
    <x v="0"/>
    <d v="2023-10-21T00:00:00"/>
    <x v="3"/>
    <s v="Accessories"/>
    <x v="6"/>
    <n v="4"/>
    <n v="6904.11"/>
    <x v="0"/>
  </r>
  <r>
    <s v="ORD045"/>
    <s v="Amit"/>
    <x v="2"/>
    <d v="2023-05-31T00:00:00"/>
    <x v="0"/>
    <s v="Accessories"/>
    <x v="7"/>
    <n v="1"/>
    <n v="6439"/>
    <x v="0"/>
  </r>
  <r>
    <s v="ORD051"/>
    <s v="Amit"/>
    <x v="1"/>
    <d v="2023-02-11T00:00:00"/>
    <x v="0"/>
    <s v="Electronics"/>
    <x v="8"/>
    <n v="2"/>
    <n v="6290.13"/>
    <x v="0"/>
  </r>
  <r>
    <s v="ORD052"/>
    <s v="Amit"/>
    <x v="2"/>
    <d v="2023-03-21T00:00:00"/>
    <x v="0"/>
    <s v="Accessories"/>
    <x v="9"/>
    <n v="1"/>
    <n v="11068.01"/>
    <x v="0"/>
  </r>
  <r>
    <s v="ORD057"/>
    <s v="Amit"/>
    <x v="1"/>
    <d v="2023-05-17T00:00:00"/>
    <x v="4"/>
    <s v="Accessories"/>
    <x v="10"/>
    <n v="2"/>
    <n v="-1706.51"/>
    <x v="1"/>
  </r>
  <r>
    <s v="ORD059"/>
    <s v="Amit"/>
    <x v="4"/>
    <d v="2023-05-12T00:00:00"/>
    <x v="0"/>
    <s v="Electronics"/>
    <x v="11"/>
    <n v="5"/>
    <n v="10866.16"/>
    <x v="0"/>
  </r>
  <r>
    <s v="ORD064"/>
    <s v="Amit"/>
    <x v="0"/>
    <d v="2023-01-04T00:00:00"/>
    <x v="0"/>
    <s v="Electronics"/>
    <x v="12"/>
    <n v="2"/>
    <n v="2418.38"/>
    <x v="0"/>
  </r>
  <r>
    <s v="ORD066"/>
    <s v="Amit"/>
    <x v="4"/>
    <d v="2023-09-03T00:00:00"/>
    <x v="1"/>
    <s v="Accessories"/>
    <x v="13"/>
    <n v="1"/>
    <n v="10960.44"/>
    <x v="0"/>
  </r>
  <r>
    <s v="ORD073"/>
    <s v="Amit"/>
    <x v="0"/>
    <d v="2023-01-06T00:00:00"/>
    <x v="0"/>
    <s v="Electronics"/>
    <x v="14"/>
    <n v="1"/>
    <n v="7529.26"/>
    <x v="0"/>
  </r>
  <r>
    <s v="ORD087"/>
    <s v="Amit"/>
    <x v="0"/>
    <d v="2023-06-20T00:00:00"/>
    <x v="0"/>
    <s v="Electronics"/>
    <x v="15"/>
    <n v="5"/>
    <n v="4763.75"/>
    <x v="0"/>
  </r>
  <r>
    <s v="ORD091"/>
    <s v="Amit"/>
    <x v="0"/>
    <d v="2023-01-03T00:00:00"/>
    <x v="2"/>
    <s v="Accessories"/>
    <x v="16"/>
    <n v="4"/>
    <n v="3371.38"/>
    <x v="0"/>
  </r>
  <r>
    <s v="ORD093"/>
    <s v="Amit"/>
    <x v="3"/>
    <d v="2023-03-12T00:00:00"/>
    <x v="3"/>
    <s v="Accessories"/>
    <x v="17"/>
    <n v="1"/>
    <n v="10981.62"/>
    <x v="0"/>
  </r>
  <r>
    <s v="ORD099"/>
    <s v="Amit"/>
    <x v="3"/>
    <d v="2023-10-07T00:00:00"/>
    <x v="3"/>
    <s v="Accessories"/>
    <x v="18"/>
    <n v="1"/>
    <n v="-1138.8699999999999"/>
    <x v="1"/>
  </r>
  <r>
    <s v="ORD100"/>
    <s v="Amit"/>
    <x v="0"/>
    <d v="2023-04-12T00:00:00"/>
    <x v="2"/>
    <s v="Electronics"/>
    <x v="19"/>
    <n v="5"/>
    <n v="13975.3"/>
    <x v="0"/>
  </r>
  <r>
    <s v="ORD002"/>
    <s v="John"/>
    <x v="2"/>
    <d v="2023-02-23T00:00:00"/>
    <x v="4"/>
    <s v="Electronics"/>
    <x v="20"/>
    <n v="5"/>
    <n v="3496.69"/>
    <x v="0"/>
  </r>
  <r>
    <s v="ORD010"/>
    <s v="John"/>
    <x v="2"/>
    <d v="2023-03-29T00:00:00"/>
    <x v="3"/>
    <s v="Electronics"/>
    <x v="21"/>
    <n v="3"/>
    <n v="12619.5"/>
    <x v="0"/>
  </r>
  <r>
    <s v="ORD030"/>
    <s v="John"/>
    <x v="3"/>
    <d v="2023-01-29T00:00:00"/>
    <x v="0"/>
    <s v="Electronics"/>
    <x v="22"/>
    <n v="3"/>
    <n v="-3671.99"/>
    <x v="1"/>
  </r>
  <r>
    <s v="ORD031"/>
    <s v="John"/>
    <x v="2"/>
    <d v="2023-11-28T00:00:00"/>
    <x v="4"/>
    <s v="Accessories"/>
    <x v="23"/>
    <n v="5"/>
    <n v="2874.45"/>
    <x v="0"/>
  </r>
  <r>
    <s v="ORD035"/>
    <s v="John"/>
    <x v="2"/>
    <d v="2023-12-01T00:00:00"/>
    <x v="3"/>
    <s v="Electronics"/>
    <x v="24"/>
    <n v="5"/>
    <n v="4863.54"/>
    <x v="0"/>
  </r>
  <r>
    <s v="ORD053"/>
    <s v="John"/>
    <x v="0"/>
    <d v="2023-11-26T00:00:00"/>
    <x v="2"/>
    <s v="Electronics"/>
    <x v="25"/>
    <n v="5"/>
    <n v="3841.05"/>
    <x v="0"/>
  </r>
  <r>
    <s v="ORD063"/>
    <s v="John"/>
    <x v="3"/>
    <d v="2023-07-31T00:00:00"/>
    <x v="3"/>
    <s v="Accessories"/>
    <x v="26"/>
    <n v="5"/>
    <n v="-4204.3599999999997"/>
    <x v="1"/>
  </r>
  <r>
    <s v="ORD067"/>
    <s v="John"/>
    <x v="1"/>
    <d v="2023-08-10T00:00:00"/>
    <x v="2"/>
    <s v="Electronics"/>
    <x v="27"/>
    <n v="2"/>
    <n v="10788.47"/>
    <x v="0"/>
  </r>
  <r>
    <s v="ORD082"/>
    <s v="John"/>
    <x v="1"/>
    <d v="2023-08-15T00:00:00"/>
    <x v="1"/>
    <s v="Electronics"/>
    <x v="28"/>
    <n v="1"/>
    <n v="9022.42"/>
    <x v="0"/>
  </r>
  <r>
    <s v="ORD092"/>
    <s v="John"/>
    <x v="0"/>
    <d v="2023-06-28T00:00:00"/>
    <x v="0"/>
    <s v="Accessories"/>
    <x v="29"/>
    <n v="3"/>
    <n v="-2240.9899999999998"/>
    <x v="1"/>
  </r>
  <r>
    <s v="ORD097"/>
    <s v="John"/>
    <x v="3"/>
    <d v="2023-09-04T00:00:00"/>
    <x v="3"/>
    <s v="Electronics"/>
    <x v="30"/>
    <n v="4"/>
    <n v="13923.16"/>
    <x v="0"/>
  </r>
  <r>
    <s v="ORD011"/>
    <s v="Neha"/>
    <x v="1"/>
    <d v="2023-01-08T00:00:00"/>
    <x v="2"/>
    <s v="Accessories"/>
    <x v="31"/>
    <n v="1"/>
    <n v="5253.51"/>
    <x v="0"/>
  </r>
  <r>
    <s v="ORD012"/>
    <s v="Neha"/>
    <x v="2"/>
    <d v="2023-03-10T00:00:00"/>
    <x v="0"/>
    <s v="Electronics"/>
    <x v="32"/>
    <n v="2"/>
    <n v="4491.3900000000003"/>
    <x v="0"/>
  </r>
  <r>
    <s v="ORD032"/>
    <s v="Neha"/>
    <x v="1"/>
    <d v="2023-09-20T00:00:00"/>
    <x v="2"/>
    <s v="Accessories"/>
    <x v="33"/>
    <n v="5"/>
    <n v="-598.62"/>
    <x v="1"/>
  </r>
  <r>
    <s v="ORD033"/>
    <s v="Neha"/>
    <x v="1"/>
    <d v="2023-09-26T00:00:00"/>
    <x v="2"/>
    <s v="Accessories"/>
    <x v="34"/>
    <n v="2"/>
    <n v="14513.15"/>
    <x v="0"/>
  </r>
  <r>
    <s v="ORD047"/>
    <s v="Neha"/>
    <x v="1"/>
    <d v="2023-10-26T00:00:00"/>
    <x v="4"/>
    <s v="Electronics"/>
    <x v="35"/>
    <n v="1"/>
    <n v="-1684.77"/>
    <x v="1"/>
  </r>
  <r>
    <s v="ORD050"/>
    <s v="Neha"/>
    <x v="1"/>
    <d v="2023-09-25T00:00:00"/>
    <x v="3"/>
    <s v="Electronics"/>
    <x v="36"/>
    <n v="1"/>
    <n v="10050.33"/>
    <x v="0"/>
  </r>
  <r>
    <s v="ORD055"/>
    <s v="Neha"/>
    <x v="1"/>
    <d v="2023-08-28T00:00:00"/>
    <x v="2"/>
    <s v="Electronics"/>
    <x v="37"/>
    <n v="1"/>
    <n v="13403.94"/>
    <x v="0"/>
  </r>
  <r>
    <s v="ORD061"/>
    <s v="Neha"/>
    <x v="1"/>
    <d v="2023-06-21T00:00:00"/>
    <x v="3"/>
    <s v="Electronics"/>
    <x v="38"/>
    <n v="2"/>
    <n v="8660.14"/>
    <x v="0"/>
  </r>
  <r>
    <s v="ORD062"/>
    <s v="Neha"/>
    <x v="3"/>
    <d v="2023-11-16T00:00:00"/>
    <x v="0"/>
    <s v="Electronics"/>
    <x v="39"/>
    <n v="4"/>
    <n v="-492.05"/>
    <x v="1"/>
  </r>
  <r>
    <s v="ORD077"/>
    <s v="Neha"/>
    <x v="4"/>
    <d v="2023-09-24T00:00:00"/>
    <x v="4"/>
    <s v="Electronics"/>
    <x v="40"/>
    <n v="4"/>
    <n v="10914.03"/>
    <x v="0"/>
  </r>
  <r>
    <s v="ORD081"/>
    <s v="Neha"/>
    <x v="3"/>
    <d v="2023-01-17T00:00:00"/>
    <x v="2"/>
    <s v="Electronics"/>
    <x v="41"/>
    <n v="1"/>
    <n v="9885.76"/>
    <x v="0"/>
  </r>
  <r>
    <s v="ORD085"/>
    <s v="Neha"/>
    <x v="3"/>
    <d v="2023-01-23T00:00:00"/>
    <x v="1"/>
    <s v="Electronics"/>
    <x v="42"/>
    <n v="2"/>
    <n v="2424.29"/>
    <x v="0"/>
  </r>
  <r>
    <s v="ORD086"/>
    <s v="Neha"/>
    <x v="0"/>
    <d v="2023-08-07T00:00:00"/>
    <x v="2"/>
    <s v="Accessories"/>
    <x v="43"/>
    <n v="2"/>
    <n v="-980.23"/>
    <x v="1"/>
  </r>
  <r>
    <s v="ORD003"/>
    <s v="Priya"/>
    <x v="3"/>
    <d v="2023-11-18T00:00:00"/>
    <x v="0"/>
    <s v="Accessories"/>
    <x v="44"/>
    <n v="2"/>
    <n v="141.78"/>
    <x v="0"/>
  </r>
  <r>
    <s v="ORD008"/>
    <s v="Priya"/>
    <x v="0"/>
    <d v="2023-06-19T00:00:00"/>
    <x v="2"/>
    <s v="Electronics"/>
    <x v="45"/>
    <n v="2"/>
    <n v="288.77999999999997"/>
    <x v="0"/>
  </r>
  <r>
    <s v="ORD018"/>
    <s v="Priya"/>
    <x v="2"/>
    <d v="2023-06-19T00:00:00"/>
    <x v="0"/>
    <s v="Electronics"/>
    <x v="46"/>
    <n v="1"/>
    <n v="8843.41"/>
    <x v="0"/>
  </r>
  <r>
    <s v="ORD019"/>
    <s v="Priya"/>
    <x v="1"/>
    <d v="2023-05-09T00:00:00"/>
    <x v="2"/>
    <s v="Electronics"/>
    <x v="47"/>
    <n v="4"/>
    <n v="2719.16"/>
    <x v="0"/>
  </r>
  <r>
    <s v="ORD020"/>
    <s v="Priya"/>
    <x v="0"/>
    <d v="2023-01-19T00:00:00"/>
    <x v="3"/>
    <s v="Electronics"/>
    <x v="48"/>
    <n v="1"/>
    <n v="-4088.12"/>
    <x v="1"/>
  </r>
  <r>
    <s v="ORD021"/>
    <s v="Priya"/>
    <x v="4"/>
    <d v="2023-01-16T00:00:00"/>
    <x v="4"/>
    <s v="Accessories"/>
    <x v="49"/>
    <n v="5"/>
    <n v="14838.68"/>
    <x v="0"/>
  </r>
  <r>
    <s v="ORD025"/>
    <s v="Priya"/>
    <x v="1"/>
    <d v="2023-12-19T00:00:00"/>
    <x v="3"/>
    <s v="Electronics"/>
    <x v="50"/>
    <n v="4"/>
    <n v="671.99"/>
    <x v="0"/>
  </r>
  <r>
    <s v="ORD029"/>
    <s v="Priya"/>
    <x v="1"/>
    <d v="2023-12-26T00:00:00"/>
    <x v="2"/>
    <s v="Accessories"/>
    <x v="51"/>
    <n v="5"/>
    <n v="-964.78"/>
    <x v="1"/>
  </r>
  <r>
    <s v="ORD034"/>
    <s v="Priya"/>
    <x v="0"/>
    <d v="2023-11-29T00:00:00"/>
    <x v="3"/>
    <s v="Accessories"/>
    <x v="52"/>
    <n v="2"/>
    <n v="663.53"/>
    <x v="0"/>
  </r>
  <r>
    <s v="ORD036"/>
    <s v="Priya"/>
    <x v="1"/>
    <d v="2023-02-13T00:00:00"/>
    <x v="1"/>
    <s v="Accessories"/>
    <x v="53"/>
    <n v="4"/>
    <n v="7607.86"/>
    <x v="0"/>
  </r>
  <r>
    <s v="ORD039"/>
    <s v="Priya"/>
    <x v="1"/>
    <d v="2023-07-26T00:00:00"/>
    <x v="4"/>
    <s v="Accessories"/>
    <x v="54"/>
    <n v="1"/>
    <n v="-1812.15"/>
    <x v="1"/>
  </r>
  <r>
    <s v="ORD044"/>
    <s v="Priya"/>
    <x v="4"/>
    <d v="2023-02-21T00:00:00"/>
    <x v="4"/>
    <s v="Accessories"/>
    <x v="55"/>
    <n v="3"/>
    <n v="-4455.57"/>
    <x v="1"/>
  </r>
  <r>
    <s v="ORD048"/>
    <s v="Priya"/>
    <x v="2"/>
    <d v="2023-08-17T00:00:00"/>
    <x v="3"/>
    <s v="Electronics"/>
    <x v="56"/>
    <n v="5"/>
    <n v="5004.8500000000004"/>
    <x v="0"/>
  </r>
  <r>
    <s v="ORD058"/>
    <s v="Priya"/>
    <x v="1"/>
    <d v="2023-07-12T00:00:00"/>
    <x v="4"/>
    <s v="Electronics"/>
    <x v="57"/>
    <n v="1"/>
    <n v="-773.53"/>
    <x v="1"/>
  </r>
  <r>
    <s v="ORD060"/>
    <s v="Priya"/>
    <x v="0"/>
    <d v="2023-07-26T00:00:00"/>
    <x v="1"/>
    <s v="Accessories"/>
    <x v="58"/>
    <n v="1"/>
    <n v="5755.69"/>
    <x v="0"/>
  </r>
  <r>
    <s v="ORD076"/>
    <s v="Priya"/>
    <x v="3"/>
    <d v="2023-11-09T00:00:00"/>
    <x v="1"/>
    <s v="Accessories"/>
    <x v="59"/>
    <n v="2"/>
    <n v="5259.6"/>
    <x v="0"/>
  </r>
  <r>
    <s v="ORD083"/>
    <s v="Priya"/>
    <x v="4"/>
    <d v="2023-10-29T00:00:00"/>
    <x v="3"/>
    <s v="Electronics"/>
    <x v="60"/>
    <n v="1"/>
    <n v="13187.62"/>
    <x v="0"/>
  </r>
  <r>
    <s v="ORD004"/>
    <s v="Rahul"/>
    <x v="3"/>
    <d v="2023-07-06T00:00:00"/>
    <x v="4"/>
    <s v="Electronics"/>
    <x v="61"/>
    <n v="2"/>
    <n v="3690.96"/>
    <x v="0"/>
  </r>
  <r>
    <s v="ORD009"/>
    <s v="Rahul"/>
    <x v="0"/>
    <d v="2023-04-14T00:00:00"/>
    <x v="3"/>
    <s v="Accessories"/>
    <x v="62"/>
    <n v="1"/>
    <n v="8761.73"/>
    <x v="0"/>
  </r>
  <r>
    <s v="ORD013"/>
    <s v="Rahul"/>
    <x v="4"/>
    <d v="2023-01-06T00:00:00"/>
    <x v="0"/>
    <s v="Electronics"/>
    <x v="63"/>
    <n v="4"/>
    <n v="507.78"/>
    <x v="0"/>
  </r>
  <r>
    <s v="ORD022"/>
    <s v="Rahul"/>
    <x v="2"/>
    <d v="2023-01-30T00:00:00"/>
    <x v="3"/>
    <s v="Electronics"/>
    <x v="64"/>
    <n v="4"/>
    <n v="-3796.16"/>
    <x v="1"/>
  </r>
  <r>
    <s v="ORD027"/>
    <s v="Rahul"/>
    <x v="4"/>
    <d v="2023-02-07T00:00:00"/>
    <x v="3"/>
    <s v="Electronics"/>
    <x v="65"/>
    <n v="1"/>
    <n v="-998.51"/>
    <x v="1"/>
  </r>
  <r>
    <s v="ORD038"/>
    <s v="Rahul"/>
    <x v="0"/>
    <d v="2023-08-03T00:00:00"/>
    <x v="0"/>
    <s v="Electronics"/>
    <x v="66"/>
    <n v="4"/>
    <n v="6260.33"/>
    <x v="0"/>
  </r>
  <r>
    <s v="ORD042"/>
    <s v="Rahul"/>
    <x v="0"/>
    <d v="2023-09-02T00:00:00"/>
    <x v="4"/>
    <s v="Electronics"/>
    <x v="67"/>
    <n v="5"/>
    <n v="4206.03"/>
    <x v="0"/>
  </r>
  <r>
    <s v="ORD049"/>
    <s v="Rahul"/>
    <x v="2"/>
    <d v="2023-07-01T00:00:00"/>
    <x v="2"/>
    <s v="Accessories"/>
    <x v="68"/>
    <n v="2"/>
    <n v="7877.48"/>
    <x v="0"/>
  </r>
  <r>
    <s v="ORD054"/>
    <s v="Rahul"/>
    <x v="4"/>
    <d v="2023-06-02T00:00:00"/>
    <x v="3"/>
    <s v="Electronics"/>
    <x v="69"/>
    <n v="1"/>
    <n v="7730.97"/>
    <x v="0"/>
  </r>
  <r>
    <s v="ORD070"/>
    <s v="Rahul"/>
    <x v="3"/>
    <d v="2023-06-11T00:00:00"/>
    <x v="3"/>
    <s v="Accessories"/>
    <x v="70"/>
    <n v="3"/>
    <n v="6462.06"/>
    <x v="0"/>
  </r>
  <r>
    <s v="ORD071"/>
    <s v="Rahul"/>
    <x v="2"/>
    <d v="2023-05-17T00:00:00"/>
    <x v="1"/>
    <s v="Electronics"/>
    <x v="71"/>
    <n v="2"/>
    <n v="-4282.45"/>
    <x v="1"/>
  </r>
  <r>
    <s v="ORD072"/>
    <s v="Rahul"/>
    <x v="2"/>
    <d v="2023-01-14T00:00:00"/>
    <x v="4"/>
    <s v="Accessories"/>
    <x v="72"/>
    <n v="5"/>
    <n v="-315.37"/>
    <x v="1"/>
  </r>
  <r>
    <s v="ORD075"/>
    <s v="Rahul"/>
    <x v="3"/>
    <d v="2023-01-27T00:00:00"/>
    <x v="4"/>
    <s v="Accessories"/>
    <x v="73"/>
    <n v="3"/>
    <n v="12086.86"/>
    <x v="0"/>
  </r>
  <r>
    <s v="ORD080"/>
    <s v="Rahul"/>
    <x v="0"/>
    <d v="2023-02-27T00:00:00"/>
    <x v="3"/>
    <s v="Electronics"/>
    <x v="74"/>
    <n v="4"/>
    <n v="54.15"/>
    <x v="0"/>
  </r>
  <r>
    <s v="ORD084"/>
    <s v="Rahul"/>
    <x v="2"/>
    <d v="2023-04-02T00:00:00"/>
    <x v="4"/>
    <s v="Accessories"/>
    <x v="75"/>
    <n v="3"/>
    <n v="-3737.42"/>
    <x v="1"/>
  </r>
  <r>
    <s v="ORD090"/>
    <s v="Rahul"/>
    <x v="0"/>
    <d v="2023-11-23T00:00:00"/>
    <x v="2"/>
    <s v="Electronics"/>
    <x v="76"/>
    <n v="1"/>
    <n v="-4339.54"/>
    <x v="1"/>
  </r>
  <r>
    <s v="ORD094"/>
    <s v="Rahul"/>
    <x v="4"/>
    <d v="2023-12-20T00:00:00"/>
    <x v="4"/>
    <s v="Electronics"/>
    <x v="77"/>
    <n v="5"/>
    <n v="9597.2900000000009"/>
    <x v="0"/>
  </r>
  <r>
    <s v="ORD098"/>
    <s v="Rahul"/>
    <x v="0"/>
    <d v="2023-11-14T00:00:00"/>
    <x v="4"/>
    <s v="Electronics"/>
    <x v="78"/>
    <n v="2"/>
    <n v="-4329.6400000000003"/>
    <x v="1"/>
  </r>
  <r>
    <s v="ORD005"/>
    <s v="Sara"/>
    <x v="3"/>
    <d v="2023-04-19T00:00:00"/>
    <x v="4"/>
    <s v="Accessories"/>
    <x v="79"/>
    <n v="2"/>
    <n v="-4142.6000000000004"/>
    <x v="1"/>
  </r>
  <r>
    <s v="ORD006"/>
    <s v="Sara"/>
    <x v="1"/>
    <d v="2023-11-21T00:00:00"/>
    <x v="4"/>
    <s v="Electronics"/>
    <x v="80"/>
    <n v="3"/>
    <n v="13285.73"/>
    <x v="0"/>
  </r>
  <r>
    <s v="ORD023"/>
    <s v="Sara"/>
    <x v="2"/>
    <d v="2023-05-01T00:00:00"/>
    <x v="0"/>
    <s v="Accessories"/>
    <x v="81"/>
    <n v="4"/>
    <n v="-1657.73"/>
    <x v="1"/>
  </r>
  <r>
    <s v="ORD024"/>
    <s v="Sara"/>
    <x v="0"/>
    <d v="2023-07-06T00:00:00"/>
    <x v="1"/>
    <s v="Electronics"/>
    <x v="82"/>
    <n v="2"/>
    <n v="8374.7199999999993"/>
    <x v="0"/>
  </r>
  <r>
    <s v="ORD026"/>
    <s v="Sara"/>
    <x v="4"/>
    <d v="2023-06-25T00:00:00"/>
    <x v="1"/>
    <s v="Electronics"/>
    <x v="83"/>
    <n v="1"/>
    <n v="1252.26"/>
    <x v="0"/>
  </r>
  <r>
    <s v="ORD037"/>
    <s v="Sara"/>
    <x v="3"/>
    <d v="2023-01-24T00:00:00"/>
    <x v="0"/>
    <s v="Electronics"/>
    <x v="84"/>
    <n v="5"/>
    <n v="14737.67"/>
    <x v="0"/>
  </r>
  <r>
    <s v="ORD040"/>
    <s v="Sara"/>
    <x v="0"/>
    <d v="2023-04-02T00:00:00"/>
    <x v="4"/>
    <s v="Electronics"/>
    <x v="85"/>
    <n v="1"/>
    <n v="13771.52"/>
    <x v="0"/>
  </r>
  <r>
    <s v="ORD041"/>
    <s v="Sara"/>
    <x v="2"/>
    <d v="2023-04-27T00:00:00"/>
    <x v="2"/>
    <s v="Accessories"/>
    <x v="86"/>
    <n v="2"/>
    <n v="5326.06"/>
    <x v="0"/>
  </r>
  <r>
    <s v="ORD043"/>
    <s v="Sara"/>
    <x v="2"/>
    <d v="2023-11-28T00:00:00"/>
    <x v="0"/>
    <s v="Accessories"/>
    <x v="87"/>
    <n v="3"/>
    <n v="150.97999999999999"/>
    <x v="0"/>
  </r>
  <r>
    <s v="ORD046"/>
    <s v="Sara"/>
    <x v="0"/>
    <d v="2023-12-03T00:00:00"/>
    <x v="0"/>
    <s v="Accessories"/>
    <x v="88"/>
    <n v="5"/>
    <n v="-277.19"/>
    <x v="1"/>
  </r>
  <r>
    <s v="ORD056"/>
    <s v="Sara"/>
    <x v="1"/>
    <d v="2023-05-12T00:00:00"/>
    <x v="3"/>
    <s v="Accessories"/>
    <x v="89"/>
    <n v="2"/>
    <n v="5609.43"/>
    <x v="0"/>
  </r>
  <r>
    <s v="ORD065"/>
    <s v="Sara"/>
    <x v="0"/>
    <d v="2023-03-13T00:00:00"/>
    <x v="3"/>
    <s v="Electronics"/>
    <x v="90"/>
    <n v="3"/>
    <n v="-4260.25"/>
    <x v="1"/>
  </r>
  <r>
    <s v="ORD068"/>
    <s v="Sara"/>
    <x v="4"/>
    <d v="2023-02-22T00:00:00"/>
    <x v="4"/>
    <s v="Accessories"/>
    <x v="91"/>
    <n v="4"/>
    <n v="-4991.33"/>
    <x v="1"/>
  </r>
  <r>
    <s v="ORD069"/>
    <s v="Sara"/>
    <x v="4"/>
    <d v="2023-03-09T00:00:00"/>
    <x v="2"/>
    <s v="Accessories"/>
    <x v="92"/>
    <n v="1"/>
    <n v="295.29000000000002"/>
    <x v="0"/>
  </r>
  <r>
    <s v="ORD074"/>
    <s v="Sara"/>
    <x v="0"/>
    <d v="2023-10-22T00:00:00"/>
    <x v="1"/>
    <s v="Accessories"/>
    <x v="93"/>
    <n v="3"/>
    <n v="9073.36"/>
    <x v="0"/>
  </r>
  <r>
    <s v="ORD078"/>
    <s v="Sara"/>
    <x v="4"/>
    <d v="2023-05-13T00:00:00"/>
    <x v="4"/>
    <s v="Accessories"/>
    <x v="94"/>
    <n v="4"/>
    <n v="4185.3500000000004"/>
    <x v="0"/>
  </r>
  <r>
    <s v="ORD079"/>
    <s v="Sara"/>
    <x v="4"/>
    <d v="2023-02-27T00:00:00"/>
    <x v="4"/>
    <s v="Accessories"/>
    <x v="95"/>
    <n v="2"/>
    <n v="1479.24"/>
    <x v="0"/>
  </r>
  <r>
    <s v="ORD088"/>
    <s v="Sara"/>
    <x v="2"/>
    <d v="2023-11-25T00:00:00"/>
    <x v="4"/>
    <s v="Electronics"/>
    <x v="96"/>
    <n v="4"/>
    <n v="491.54"/>
    <x v="0"/>
  </r>
  <r>
    <s v="ORD089"/>
    <s v="Sara"/>
    <x v="1"/>
    <d v="2023-04-11T00:00:00"/>
    <x v="2"/>
    <s v="Accessories"/>
    <x v="97"/>
    <n v="2"/>
    <n v="-4665.17"/>
    <x v="1"/>
  </r>
  <r>
    <s v="ORD095"/>
    <s v="Sara"/>
    <x v="0"/>
    <d v="2023-05-28T00:00:00"/>
    <x v="0"/>
    <s v="Electronics"/>
    <x v="98"/>
    <n v="5"/>
    <n v="5497.01"/>
    <x v="0"/>
  </r>
  <r>
    <s v="ORD096"/>
    <s v="Sara"/>
    <x v="3"/>
    <d v="2023-02-06T00:00:00"/>
    <x v="2"/>
    <s v="Accessories"/>
    <x v="99"/>
    <n v="1"/>
    <n v="-4965.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18936-6ED3-4486-B32F-2EF78461D56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0">
    <pivotField showAll="0"/>
    <pivotField showAll="0"/>
    <pivotField axis="axisRow" showAll="0" sortType="descending">
      <items count="6">
        <item x="3"/>
        <item x="4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64" showAll="0"/>
    <pivotField showAll="0"/>
    <pivotField showAll="0"/>
    <pivotField dataField="1" numFmtId="2" showAll="0">
      <items count="101">
        <item x="71"/>
        <item x="81"/>
        <item x="17"/>
        <item x="90"/>
        <item x="58"/>
        <item x="14"/>
        <item x="29"/>
        <item x="54"/>
        <item x="39"/>
        <item x="13"/>
        <item x="78"/>
        <item x="56"/>
        <item x="85"/>
        <item x="18"/>
        <item x="66"/>
        <item x="15"/>
        <item x="83"/>
        <item x="36"/>
        <item x="48"/>
        <item x="79"/>
        <item x="96"/>
        <item x="55"/>
        <item x="0"/>
        <item x="82"/>
        <item x="46"/>
        <item x="51"/>
        <item x="5"/>
        <item x="57"/>
        <item x="89"/>
        <item x="65"/>
        <item x="76"/>
        <item x="41"/>
        <item x="63"/>
        <item x="68"/>
        <item x="94"/>
        <item x="61"/>
        <item x="27"/>
        <item x="97"/>
        <item x="86"/>
        <item x="7"/>
        <item x="24"/>
        <item x="72"/>
        <item x="80"/>
        <item x="92"/>
        <item x="8"/>
        <item x="34"/>
        <item x="38"/>
        <item x="12"/>
        <item x="30"/>
        <item x="10"/>
        <item x="21"/>
        <item x="40"/>
        <item x="59"/>
        <item x="60"/>
        <item x="19"/>
        <item x="70"/>
        <item x="87"/>
        <item x="20"/>
        <item x="44"/>
        <item x="16"/>
        <item x="23"/>
        <item x="99"/>
        <item x="98"/>
        <item x="67"/>
        <item x="91"/>
        <item x="31"/>
        <item x="9"/>
        <item x="37"/>
        <item x="22"/>
        <item x="6"/>
        <item x="95"/>
        <item x="25"/>
        <item x="69"/>
        <item x="32"/>
        <item x="43"/>
        <item x="62"/>
        <item x="4"/>
        <item x="45"/>
        <item x="50"/>
        <item x="47"/>
        <item x="88"/>
        <item x="52"/>
        <item x="84"/>
        <item x="93"/>
        <item x="2"/>
        <item x="33"/>
        <item x="26"/>
        <item x="42"/>
        <item x="28"/>
        <item x="74"/>
        <item x="75"/>
        <item x="64"/>
        <item x="73"/>
        <item x="35"/>
        <item x="49"/>
        <item x="3"/>
        <item x="11"/>
        <item x="53"/>
        <item x="1"/>
        <item x="77"/>
        <item t="default"/>
      </items>
    </pivotField>
    <pivotField numFmtId="2" showAll="0"/>
    <pivotField numFmtId="2" showAll="0"/>
    <pivotField showAll="0"/>
  </pivotFields>
  <rowFields count="1">
    <field x="2"/>
  </rowFields>
  <rowItems count="6">
    <i>
      <x v="3"/>
    </i>
    <i>
      <x v="4"/>
    </i>
    <i>
      <x v="2"/>
    </i>
    <i>
      <x/>
    </i>
    <i>
      <x v="1"/>
    </i>
    <i t="grand">
      <x/>
    </i>
  </rowItems>
  <colItems count="1">
    <i/>
  </colItems>
  <dataFields count="1">
    <dataField name="Sum of Sales" fld="6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EDAA7-F3A4-489F-98D1-5C341292442F}" name="Profit By Produc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9" firstHeaderRow="1" firstDataRow="1" firstDataCol="1"/>
  <pivotFields count="10">
    <pivotField showAll="0"/>
    <pivotField showAll="0"/>
    <pivotField showAll="0"/>
    <pivotField numFmtId="164" showAll="0"/>
    <pivotField axis="axisRow" showAll="0" sortType="descending">
      <items count="6">
        <item x="2"/>
        <item x="3"/>
        <item x="1"/>
        <item x="0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2" showAll="0"/>
    <pivotField numFmtId="2" showAll="0"/>
    <pivotField dataField="1" numFmtId="2" showAll="0"/>
    <pivotField showAll="0"/>
  </pivotFields>
  <rowFields count="1">
    <field x="4"/>
  </rowFields>
  <rowItems count="6">
    <i>
      <x v="1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Sum of Profit" fld="8" baseField="0" baseItem="0" numFmtId="2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AE9303-AB9D-46BD-AB9C-C185D143BBBD}" name="Profit vs Los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6" firstHeaderRow="1" firstDataRow="1" firstDataCol="1"/>
  <pivotFields count="10">
    <pivotField showAll="0"/>
    <pivotField showAll="0"/>
    <pivotField showAll="0"/>
    <pivotField numFmtId="164" showAll="0"/>
    <pivotField showAll="0"/>
    <pivotField showAll="0"/>
    <pivotField numFmtId="2" showAll="0"/>
    <pivotField numFmtId="2" showAll="0"/>
    <pivotField numFmtId="2" showAll="0"/>
    <pivotField axis="axisRow" dataField="1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9"/>
  </rowFields>
  <rowItems count="3">
    <i>
      <x v="1"/>
    </i>
    <i>
      <x/>
    </i>
    <i t="grand">
      <x/>
    </i>
  </rowItems>
  <colItems count="1">
    <i/>
  </colItems>
  <dataFields count="1">
    <dataField name="Count of Profit_Type" fld="9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88365-3033-4C82-8078-B801A86D8BE6}">
  <dimension ref="A1:P101"/>
  <sheetViews>
    <sheetView workbookViewId="0"/>
  </sheetViews>
  <sheetFormatPr defaultRowHeight="14.4" x14ac:dyDescent="0.3"/>
  <cols>
    <col min="4" max="4" width="17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P1" t="s">
        <v>144</v>
      </c>
    </row>
    <row r="2" spans="1:16" x14ac:dyDescent="0.3">
      <c r="A2" t="s">
        <v>9</v>
      </c>
      <c r="B2" t="s">
        <v>10</v>
      </c>
      <c r="C2" t="s">
        <v>11</v>
      </c>
      <c r="D2" s="8">
        <v>45241</v>
      </c>
      <c r="E2" t="s">
        <v>12</v>
      </c>
      <c r="F2" t="s">
        <v>13</v>
      </c>
      <c r="G2">
        <v>13558.24</v>
      </c>
      <c r="H2">
        <v>4</v>
      </c>
      <c r="I2">
        <v>7724.71</v>
      </c>
    </row>
    <row r="3" spans="1:16" x14ac:dyDescent="0.3">
      <c r="A3" t="s">
        <v>14</v>
      </c>
      <c r="B3" t="s">
        <v>15</v>
      </c>
      <c r="C3" t="s">
        <v>16</v>
      </c>
      <c r="D3" s="8">
        <v>44980</v>
      </c>
      <c r="E3" t="s">
        <v>17</v>
      </c>
      <c r="F3" t="s">
        <v>18</v>
      </c>
      <c r="G3">
        <v>32935.35</v>
      </c>
      <c r="H3">
        <v>5</v>
      </c>
      <c r="I3">
        <v>3496.69</v>
      </c>
    </row>
    <row r="4" spans="1:16" x14ac:dyDescent="0.3">
      <c r="A4" t="s">
        <v>19</v>
      </c>
      <c r="B4" t="s">
        <v>20</v>
      </c>
      <c r="C4" t="s">
        <v>21</v>
      </c>
      <c r="D4" s="8">
        <v>45248</v>
      </c>
      <c r="E4" t="s">
        <v>12</v>
      </c>
      <c r="F4" t="s">
        <v>13</v>
      </c>
      <c r="G4">
        <v>33141.300000000003</v>
      </c>
      <c r="H4">
        <v>2</v>
      </c>
      <c r="I4">
        <v>141.78</v>
      </c>
    </row>
    <row r="5" spans="1:16" x14ac:dyDescent="0.3">
      <c r="A5" t="s">
        <v>22</v>
      </c>
      <c r="B5" t="s">
        <v>23</v>
      </c>
      <c r="C5" t="s">
        <v>21</v>
      </c>
      <c r="D5" s="8">
        <v>45113</v>
      </c>
      <c r="E5" t="s">
        <v>17</v>
      </c>
      <c r="F5" t="s">
        <v>18</v>
      </c>
      <c r="G5">
        <v>20872.66</v>
      </c>
      <c r="H5">
        <v>2</v>
      </c>
      <c r="I5">
        <v>3690.96</v>
      </c>
    </row>
    <row r="6" spans="1:16" x14ac:dyDescent="0.3">
      <c r="A6" t="s">
        <v>24</v>
      </c>
      <c r="B6" t="s">
        <v>25</v>
      </c>
      <c r="C6" t="s">
        <v>21</v>
      </c>
      <c r="D6" s="8">
        <v>45035</v>
      </c>
      <c r="E6" t="s">
        <v>17</v>
      </c>
      <c r="F6" t="s">
        <v>13</v>
      </c>
      <c r="G6">
        <v>11954.08</v>
      </c>
      <c r="H6">
        <v>2</v>
      </c>
      <c r="I6">
        <v>-4142.6000000000004</v>
      </c>
    </row>
    <row r="7" spans="1:16" x14ac:dyDescent="0.3">
      <c r="A7" t="s">
        <v>26</v>
      </c>
      <c r="B7" t="s">
        <v>25</v>
      </c>
      <c r="C7" t="s">
        <v>27</v>
      </c>
      <c r="D7" s="8">
        <v>45251</v>
      </c>
      <c r="E7" t="s">
        <v>17</v>
      </c>
      <c r="F7" t="s">
        <v>18</v>
      </c>
      <c r="G7">
        <v>25145.61</v>
      </c>
      <c r="H7">
        <v>3</v>
      </c>
      <c r="I7">
        <v>13285.73</v>
      </c>
    </row>
    <row r="8" spans="1:16" x14ac:dyDescent="0.3">
      <c r="A8" t="s">
        <v>28</v>
      </c>
      <c r="B8" t="s">
        <v>10</v>
      </c>
      <c r="C8" t="s">
        <v>27</v>
      </c>
      <c r="D8" s="8">
        <v>45144</v>
      </c>
      <c r="E8" t="s">
        <v>29</v>
      </c>
      <c r="F8" t="s">
        <v>13</v>
      </c>
      <c r="G8">
        <v>49460.12</v>
      </c>
      <c r="H8">
        <v>5</v>
      </c>
      <c r="I8">
        <v>6154.45</v>
      </c>
    </row>
    <row r="9" spans="1:16" x14ac:dyDescent="0.3">
      <c r="A9" t="s">
        <v>30</v>
      </c>
      <c r="B9" t="s">
        <v>20</v>
      </c>
      <c r="C9" t="s">
        <v>11</v>
      </c>
      <c r="D9" s="8">
        <v>45096</v>
      </c>
      <c r="E9" t="s">
        <v>31</v>
      </c>
      <c r="F9" t="s">
        <v>18</v>
      </c>
      <c r="G9">
        <v>39231.08</v>
      </c>
      <c r="H9">
        <v>2</v>
      </c>
      <c r="I9">
        <v>288.77999999999997</v>
      </c>
    </row>
    <row r="10" spans="1:16" x14ac:dyDescent="0.3">
      <c r="A10" t="s">
        <v>32</v>
      </c>
      <c r="B10" t="s">
        <v>23</v>
      </c>
      <c r="C10" t="s">
        <v>11</v>
      </c>
      <c r="D10" s="8">
        <v>45030</v>
      </c>
      <c r="E10" t="s">
        <v>33</v>
      </c>
      <c r="F10" t="s">
        <v>13</v>
      </c>
      <c r="G10">
        <v>38445.49</v>
      </c>
      <c r="H10">
        <v>1</v>
      </c>
      <c r="I10">
        <v>8761.73</v>
      </c>
    </row>
    <row r="11" spans="1:16" x14ac:dyDescent="0.3">
      <c r="A11" t="s">
        <v>34</v>
      </c>
      <c r="B11" t="s">
        <v>15</v>
      </c>
      <c r="C11" t="s">
        <v>16</v>
      </c>
      <c r="D11" s="8">
        <v>45014</v>
      </c>
      <c r="E11" t="s">
        <v>33</v>
      </c>
      <c r="F11" t="s">
        <v>18</v>
      </c>
      <c r="G11">
        <v>28410.32</v>
      </c>
      <c r="H11">
        <v>3</v>
      </c>
      <c r="I11">
        <v>12619.5</v>
      </c>
    </row>
    <row r="12" spans="1:16" x14ac:dyDescent="0.3">
      <c r="A12" t="s">
        <v>35</v>
      </c>
      <c r="B12" t="s">
        <v>36</v>
      </c>
      <c r="C12" t="s">
        <v>27</v>
      </c>
      <c r="D12" s="8">
        <v>44934</v>
      </c>
      <c r="E12" t="s">
        <v>31</v>
      </c>
      <c r="F12" t="s">
        <v>13</v>
      </c>
      <c r="G12">
        <v>35432.050000000003</v>
      </c>
      <c r="H12">
        <v>1</v>
      </c>
      <c r="I12">
        <v>5253.51</v>
      </c>
    </row>
    <row r="13" spans="1:16" x14ac:dyDescent="0.3">
      <c r="A13" t="s">
        <v>37</v>
      </c>
      <c r="B13" t="s">
        <v>36</v>
      </c>
      <c r="C13" t="s">
        <v>16</v>
      </c>
      <c r="D13" s="8">
        <v>44995</v>
      </c>
      <c r="E13" t="s">
        <v>12</v>
      </c>
      <c r="F13" t="s">
        <v>18</v>
      </c>
      <c r="G13">
        <v>38101.79</v>
      </c>
      <c r="H13">
        <v>2</v>
      </c>
      <c r="I13">
        <v>4491.3900000000003</v>
      </c>
    </row>
    <row r="14" spans="1:16" x14ac:dyDescent="0.3">
      <c r="A14" t="s">
        <v>38</v>
      </c>
      <c r="B14" t="s">
        <v>23</v>
      </c>
      <c r="C14" t="s">
        <v>39</v>
      </c>
      <c r="D14" s="8">
        <v>44932</v>
      </c>
      <c r="E14" t="s">
        <v>12</v>
      </c>
      <c r="F14" t="s">
        <v>18</v>
      </c>
      <c r="G14">
        <v>19590.55</v>
      </c>
      <c r="H14">
        <v>4</v>
      </c>
      <c r="I14">
        <v>507.78</v>
      </c>
    </row>
    <row r="15" spans="1:16" x14ac:dyDescent="0.3">
      <c r="A15" t="s">
        <v>40</v>
      </c>
      <c r="B15" t="s">
        <v>10</v>
      </c>
      <c r="C15" t="s">
        <v>11</v>
      </c>
      <c r="D15" s="8">
        <v>45275</v>
      </c>
      <c r="E15" t="s">
        <v>31</v>
      </c>
      <c r="F15" t="s">
        <v>13</v>
      </c>
      <c r="G15">
        <v>42789.26</v>
      </c>
      <c r="H15">
        <v>1</v>
      </c>
      <c r="I15">
        <v>13061.46</v>
      </c>
    </row>
    <row r="16" spans="1:16" x14ac:dyDescent="0.3">
      <c r="A16" t="s">
        <v>41</v>
      </c>
      <c r="B16" t="s">
        <v>10</v>
      </c>
      <c r="C16" t="s">
        <v>16</v>
      </c>
      <c r="D16" s="8">
        <v>45206</v>
      </c>
      <c r="E16" t="s">
        <v>31</v>
      </c>
      <c r="F16" t="s">
        <v>18</v>
      </c>
      <c r="G16">
        <v>47662.54</v>
      </c>
      <c r="H16">
        <v>1</v>
      </c>
      <c r="I16">
        <v>14892.65</v>
      </c>
    </row>
    <row r="17" spans="1:9" x14ac:dyDescent="0.3">
      <c r="A17" t="s">
        <v>42</v>
      </c>
      <c r="B17" t="s">
        <v>10</v>
      </c>
      <c r="C17" t="s">
        <v>16</v>
      </c>
      <c r="D17" s="8">
        <v>45151</v>
      </c>
      <c r="E17" t="s">
        <v>33</v>
      </c>
      <c r="F17" t="s">
        <v>18</v>
      </c>
      <c r="G17">
        <v>38624.99</v>
      </c>
      <c r="H17">
        <v>3</v>
      </c>
      <c r="I17">
        <v>6970.81</v>
      </c>
    </row>
    <row r="18" spans="1:9" x14ac:dyDescent="0.3">
      <c r="A18" t="s">
        <v>43</v>
      </c>
      <c r="B18" t="s">
        <v>10</v>
      </c>
      <c r="C18" t="s">
        <v>21</v>
      </c>
      <c r="D18" s="8">
        <v>45163</v>
      </c>
      <c r="E18" t="s">
        <v>12</v>
      </c>
      <c r="F18" t="s">
        <v>18</v>
      </c>
      <c r="G18">
        <v>16184.28</v>
      </c>
      <c r="H18">
        <v>4</v>
      </c>
      <c r="I18">
        <v>-410.99</v>
      </c>
    </row>
    <row r="19" spans="1:9" x14ac:dyDescent="0.3">
      <c r="A19" t="s">
        <v>44</v>
      </c>
      <c r="B19" t="s">
        <v>20</v>
      </c>
      <c r="C19" t="s">
        <v>16</v>
      </c>
      <c r="D19" s="8">
        <v>45096</v>
      </c>
      <c r="E19" t="s">
        <v>12</v>
      </c>
      <c r="F19" t="s">
        <v>18</v>
      </c>
      <c r="G19">
        <v>14791.63</v>
      </c>
      <c r="H19">
        <v>1</v>
      </c>
      <c r="I19">
        <v>8843.41</v>
      </c>
    </row>
    <row r="20" spans="1:9" x14ac:dyDescent="0.3">
      <c r="A20" t="s">
        <v>45</v>
      </c>
      <c r="B20" t="s">
        <v>20</v>
      </c>
      <c r="C20" t="s">
        <v>27</v>
      </c>
      <c r="D20" s="8">
        <v>45055</v>
      </c>
      <c r="E20" t="s">
        <v>31</v>
      </c>
      <c r="F20" t="s">
        <v>18</v>
      </c>
      <c r="G20">
        <v>39757.56</v>
      </c>
      <c r="H20">
        <v>4</v>
      </c>
      <c r="I20">
        <v>2719.16</v>
      </c>
    </row>
    <row r="21" spans="1:9" x14ac:dyDescent="0.3">
      <c r="A21" t="s">
        <v>46</v>
      </c>
      <c r="B21" t="s">
        <v>20</v>
      </c>
      <c r="C21" t="s">
        <v>11</v>
      </c>
      <c r="D21" s="8">
        <v>44945</v>
      </c>
      <c r="E21" t="s">
        <v>33</v>
      </c>
      <c r="F21" t="s">
        <v>18</v>
      </c>
      <c r="G21">
        <v>10737.16</v>
      </c>
      <c r="H21">
        <v>1</v>
      </c>
      <c r="I21">
        <v>-4088.12</v>
      </c>
    </row>
    <row r="22" spans="1:9" x14ac:dyDescent="0.3">
      <c r="A22" t="s">
        <v>47</v>
      </c>
      <c r="B22" t="s">
        <v>20</v>
      </c>
      <c r="C22" t="s">
        <v>39</v>
      </c>
      <c r="D22" s="8">
        <v>44942</v>
      </c>
      <c r="E22" t="s">
        <v>17</v>
      </c>
      <c r="F22" t="s">
        <v>13</v>
      </c>
      <c r="G22">
        <v>47223.1</v>
      </c>
      <c r="H22">
        <v>5</v>
      </c>
      <c r="I22">
        <v>14838.68</v>
      </c>
    </row>
    <row r="23" spans="1:9" x14ac:dyDescent="0.3">
      <c r="A23" t="s">
        <v>48</v>
      </c>
      <c r="B23" t="s">
        <v>23</v>
      </c>
      <c r="C23" t="s">
        <v>16</v>
      </c>
      <c r="D23" s="8">
        <v>44956</v>
      </c>
      <c r="E23" t="s">
        <v>33</v>
      </c>
      <c r="F23" t="s">
        <v>18</v>
      </c>
      <c r="G23">
        <v>44815.64</v>
      </c>
      <c r="H23">
        <v>4</v>
      </c>
      <c r="I23">
        <v>-3796.16</v>
      </c>
    </row>
    <row r="24" spans="1:9" x14ac:dyDescent="0.3">
      <c r="A24" t="s">
        <v>49</v>
      </c>
      <c r="B24" t="s">
        <v>25</v>
      </c>
      <c r="C24" t="s">
        <v>16</v>
      </c>
      <c r="D24" s="8">
        <v>45047</v>
      </c>
      <c r="E24" t="s">
        <v>12</v>
      </c>
      <c r="F24" t="s">
        <v>13</v>
      </c>
      <c r="G24">
        <v>1880.72</v>
      </c>
      <c r="H24">
        <v>4</v>
      </c>
      <c r="I24">
        <v>-1657.73</v>
      </c>
    </row>
    <row r="25" spans="1:9" x14ac:dyDescent="0.3">
      <c r="A25" t="s">
        <v>50</v>
      </c>
      <c r="B25" t="s">
        <v>25</v>
      </c>
      <c r="C25" t="s">
        <v>11</v>
      </c>
      <c r="D25" s="8">
        <v>45113</v>
      </c>
      <c r="E25" t="s">
        <v>29</v>
      </c>
      <c r="F25" t="s">
        <v>18</v>
      </c>
      <c r="G25">
        <v>14410.44</v>
      </c>
      <c r="H25">
        <v>2</v>
      </c>
      <c r="I25">
        <v>8374.7199999999993</v>
      </c>
    </row>
    <row r="26" spans="1:9" x14ac:dyDescent="0.3">
      <c r="A26" t="s">
        <v>51</v>
      </c>
      <c r="B26" t="s">
        <v>20</v>
      </c>
      <c r="C26" t="s">
        <v>27</v>
      </c>
      <c r="D26" s="8">
        <v>45279</v>
      </c>
      <c r="E26" t="s">
        <v>33</v>
      </c>
      <c r="F26" t="s">
        <v>18</v>
      </c>
      <c r="G26">
        <v>39576.89</v>
      </c>
      <c r="H26">
        <v>4</v>
      </c>
      <c r="I26">
        <v>671.99</v>
      </c>
    </row>
    <row r="27" spans="1:9" x14ac:dyDescent="0.3">
      <c r="A27" t="s">
        <v>52</v>
      </c>
      <c r="B27" t="s">
        <v>25</v>
      </c>
      <c r="C27" t="s">
        <v>39</v>
      </c>
      <c r="D27" s="8">
        <v>45102</v>
      </c>
      <c r="E27" t="s">
        <v>29</v>
      </c>
      <c r="F27" t="s">
        <v>18</v>
      </c>
      <c r="G27">
        <v>9479.0499999999993</v>
      </c>
      <c r="H27">
        <v>1</v>
      </c>
      <c r="I27">
        <v>1252.26</v>
      </c>
    </row>
    <row r="28" spans="1:9" x14ac:dyDescent="0.3">
      <c r="A28" t="s">
        <v>53</v>
      </c>
      <c r="B28" t="s">
        <v>23</v>
      </c>
      <c r="C28" t="s">
        <v>39</v>
      </c>
      <c r="D28" s="8">
        <v>44964</v>
      </c>
      <c r="E28" t="s">
        <v>33</v>
      </c>
      <c r="F28" t="s">
        <v>18</v>
      </c>
      <c r="G28">
        <v>16702.009999999998</v>
      </c>
      <c r="H28">
        <v>1</v>
      </c>
      <c r="I28">
        <v>-998.51</v>
      </c>
    </row>
    <row r="29" spans="1:9" x14ac:dyDescent="0.3">
      <c r="A29" t="s">
        <v>54</v>
      </c>
      <c r="B29" t="s">
        <v>10</v>
      </c>
      <c r="C29" t="s">
        <v>11</v>
      </c>
      <c r="D29" s="8">
        <v>45220</v>
      </c>
      <c r="E29" t="s">
        <v>33</v>
      </c>
      <c r="F29" t="s">
        <v>13</v>
      </c>
      <c r="G29">
        <v>36764.46</v>
      </c>
      <c r="H29">
        <v>4</v>
      </c>
      <c r="I29">
        <v>6904.11</v>
      </c>
    </row>
    <row r="30" spans="1:9" x14ac:dyDescent="0.3">
      <c r="A30" t="s">
        <v>55</v>
      </c>
      <c r="B30" t="s">
        <v>20</v>
      </c>
      <c r="C30" t="s">
        <v>27</v>
      </c>
      <c r="D30" s="8">
        <v>45286</v>
      </c>
      <c r="E30" t="s">
        <v>31</v>
      </c>
      <c r="F30" t="s">
        <v>13</v>
      </c>
      <c r="G30">
        <v>16093.96</v>
      </c>
      <c r="H30">
        <v>5</v>
      </c>
      <c r="I30">
        <v>-964.78</v>
      </c>
    </row>
    <row r="31" spans="1:9" x14ac:dyDescent="0.3">
      <c r="A31" t="s">
        <v>56</v>
      </c>
      <c r="B31" t="s">
        <v>15</v>
      </c>
      <c r="C31" t="s">
        <v>21</v>
      </c>
      <c r="D31" s="8">
        <v>44955</v>
      </c>
      <c r="E31" t="s">
        <v>12</v>
      </c>
      <c r="F31" t="s">
        <v>18</v>
      </c>
      <c r="G31">
        <v>36398.28</v>
      </c>
      <c r="H31">
        <v>3</v>
      </c>
      <c r="I31">
        <v>-3671.99</v>
      </c>
    </row>
    <row r="32" spans="1:9" x14ac:dyDescent="0.3">
      <c r="A32" t="s">
        <v>57</v>
      </c>
      <c r="B32" t="s">
        <v>15</v>
      </c>
      <c r="C32" t="s">
        <v>16</v>
      </c>
      <c r="D32" s="8">
        <v>45258</v>
      </c>
      <c r="E32" t="s">
        <v>17</v>
      </c>
      <c r="F32" t="s">
        <v>13</v>
      </c>
      <c r="G32">
        <v>34503.800000000003</v>
      </c>
      <c r="H32">
        <v>5</v>
      </c>
      <c r="I32">
        <v>2874.45</v>
      </c>
    </row>
    <row r="33" spans="1:9" x14ac:dyDescent="0.3">
      <c r="A33" t="s">
        <v>58</v>
      </c>
      <c r="B33" t="s">
        <v>36</v>
      </c>
      <c r="C33" t="s">
        <v>27</v>
      </c>
      <c r="D33" s="8">
        <v>45189</v>
      </c>
      <c r="E33" t="s">
        <v>31</v>
      </c>
      <c r="F33" t="s">
        <v>13</v>
      </c>
      <c r="G33">
        <v>43140.78</v>
      </c>
      <c r="H33">
        <v>5</v>
      </c>
      <c r="I33">
        <v>-598.62</v>
      </c>
    </row>
    <row r="34" spans="1:9" x14ac:dyDescent="0.3">
      <c r="A34" t="s">
        <v>59</v>
      </c>
      <c r="B34" t="s">
        <v>36</v>
      </c>
      <c r="C34" t="s">
        <v>27</v>
      </c>
      <c r="D34" s="8">
        <v>45195</v>
      </c>
      <c r="E34" t="s">
        <v>31</v>
      </c>
      <c r="F34" t="s">
        <v>13</v>
      </c>
      <c r="G34">
        <v>26574.57</v>
      </c>
      <c r="H34">
        <v>2</v>
      </c>
      <c r="I34">
        <v>14513.15</v>
      </c>
    </row>
    <row r="35" spans="1:9" x14ac:dyDescent="0.3">
      <c r="A35" t="s">
        <v>60</v>
      </c>
      <c r="B35" t="s">
        <v>20</v>
      </c>
      <c r="C35" t="s">
        <v>11</v>
      </c>
      <c r="D35" s="8">
        <v>45259</v>
      </c>
      <c r="E35" t="s">
        <v>33</v>
      </c>
      <c r="F35" t="s">
        <v>13</v>
      </c>
      <c r="G35">
        <v>40876.85</v>
      </c>
      <c r="H35">
        <v>2</v>
      </c>
      <c r="I35">
        <v>663.53</v>
      </c>
    </row>
    <row r="36" spans="1:9" x14ac:dyDescent="0.3">
      <c r="A36" t="s">
        <v>61</v>
      </c>
      <c r="B36" t="s">
        <v>15</v>
      </c>
      <c r="C36" t="s">
        <v>16</v>
      </c>
      <c r="D36" s="8">
        <v>45261</v>
      </c>
      <c r="E36" t="s">
        <v>33</v>
      </c>
      <c r="F36" t="s">
        <v>18</v>
      </c>
      <c r="G36">
        <v>23931.49</v>
      </c>
      <c r="H36">
        <v>5</v>
      </c>
      <c r="I36">
        <v>4863.54</v>
      </c>
    </row>
    <row r="37" spans="1:9" x14ac:dyDescent="0.3">
      <c r="A37" t="s">
        <v>62</v>
      </c>
      <c r="B37" t="s">
        <v>20</v>
      </c>
      <c r="C37" t="s">
        <v>27</v>
      </c>
      <c r="D37" s="8">
        <v>44970</v>
      </c>
      <c r="E37" t="s">
        <v>29</v>
      </c>
      <c r="F37" t="s">
        <v>13</v>
      </c>
      <c r="G37">
        <v>48219.03</v>
      </c>
      <c r="H37">
        <v>4</v>
      </c>
      <c r="I37">
        <v>7607.86</v>
      </c>
    </row>
    <row r="38" spans="1:9" x14ac:dyDescent="0.3">
      <c r="A38" t="s">
        <v>63</v>
      </c>
      <c r="B38" t="s">
        <v>25</v>
      </c>
      <c r="C38" t="s">
        <v>21</v>
      </c>
      <c r="D38" s="8">
        <v>44950</v>
      </c>
      <c r="E38" t="s">
        <v>12</v>
      </c>
      <c r="F38" t="s">
        <v>18</v>
      </c>
      <c r="G38">
        <v>41028.720000000001</v>
      </c>
      <c r="H38">
        <v>5</v>
      </c>
      <c r="I38">
        <v>14737.67</v>
      </c>
    </row>
    <row r="39" spans="1:9" x14ac:dyDescent="0.3">
      <c r="A39" t="s">
        <v>64</v>
      </c>
      <c r="B39" t="s">
        <v>23</v>
      </c>
      <c r="C39" t="s">
        <v>11</v>
      </c>
      <c r="D39" s="8">
        <v>45141</v>
      </c>
      <c r="E39" t="s">
        <v>12</v>
      </c>
      <c r="F39" t="s">
        <v>18</v>
      </c>
      <c r="G39">
        <v>8787.41</v>
      </c>
      <c r="H39">
        <v>4</v>
      </c>
      <c r="I39">
        <v>6260.33</v>
      </c>
    </row>
    <row r="40" spans="1:9" x14ac:dyDescent="0.3">
      <c r="A40" t="s">
        <v>65</v>
      </c>
      <c r="B40" t="s">
        <v>20</v>
      </c>
      <c r="C40" t="s">
        <v>27</v>
      </c>
      <c r="D40" s="8">
        <v>45133</v>
      </c>
      <c r="E40" t="s">
        <v>17</v>
      </c>
      <c r="F40" t="s">
        <v>13</v>
      </c>
      <c r="G40">
        <v>5091.95</v>
      </c>
      <c r="H40">
        <v>1</v>
      </c>
      <c r="I40">
        <v>-1812.15</v>
      </c>
    </row>
    <row r="41" spans="1:9" x14ac:dyDescent="0.3">
      <c r="A41" t="s">
        <v>66</v>
      </c>
      <c r="B41" t="s">
        <v>25</v>
      </c>
      <c r="C41" t="s">
        <v>11</v>
      </c>
      <c r="D41" s="8">
        <v>45018</v>
      </c>
      <c r="E41" t="s">
        <v>17</v>
      </c>
      <c r="F41" t="s">
        <v>18</v>
      </c>
      <c r="G41">
        <v>8411.6200000000008</v>
      </c>
      <c r="H41">
        <v>1</v>
      </c>
      <c r="I41">
        <v>13771.52</v>
      </c>
    </row>
    <row r="42" spans="1:9" x14ac:dyDescent="0.3">
      <c r="A42" t="s">
        <v>67</v>
      </c>
      <c r="B42" t="s">
        <v>25</v>
      </c>
      <c r="C42" t="s">
        <v>16</v>
      </c>
      <c r="D42" s="8">
        <v>45043</v>
      </c>
      <c r="E42" t="s">
        <v>31</v>
      </c>
      <c r="F42" t="s">
        <v>13</v>
      </c>
      <c r="G42">
        <v>22698.11</v>
      </c>
      <c r="H42">
        <v>2</v>
      </c>
      <c r="I42">
        <v>5326.06</v>
      </c>
    </row>
    <row r="43" spans="1:9" x14ac:dyDescent="0.3">
      <c r="A43" t="s">
        <v>68</v>
      </c>
      <c r="B43" t="s">
        <v>23</v>
      </c>
      <c r="C43" t="s">
        <v>11</v>
      </c>
      <c r="D43" s="8">
        <v>45171</v>
      </c>
      <c r="E43" t="s">
        <v>17</v>
      </c>
      <c r="F43" t="s">
        <v>18</v>
      </c>
      <c r="G43">
        <v>34931.25</v>
      </c>
      <c r="H43">
        <v>5</v>
      </c>
      <c r="I43">
        <v>4206.03</v>
      </c>
    </row>
    <row r="44" spans="1:9" x14ac:dyDescent="0.3">
      <c r="A44" t="s">
        <v>69</v>
      </c>
      <c r="B44" t="s">
        <v>25</v>
      </c>
      <c r="C44" t="s">
        <v>16</v>
      </c>
      <c r="D44" s="8">
        <v>45258</v>
      </c>
      <c r="E44" t="s">
        <v>12</v>
      </c>
      <c r="F44" t="s">
        <v>13</v>
      </c>
      <c r="G44">
        <v>32903.74</v>
      </c>
      <c r="H44">
        <v>3</v>
      </c>
      <c r="I44">
        <v>150.97999999999999</v>
      </c>
    </row>
    <row r="45" spans="1:9" x14ac:dyDescent="0.3">
      <c r="A45" t="s">
        <v>70</v>
      </c>
      <c r="B45" t="s">
        <v>20</v>
      </c>
      <c r="C45" t="s">
        <v>39</v>
      </c>
      <c r="D45" s="8">
        <v>44978</v>
      </c>
      <c r="E45" t="s">
        <v>17</v>
      </c>
      <c r="F45" t="s">
        <v>13</v>
      </c>
      <c r="G45">
        <v>13517.77</v>
      </c>
      <c r="H45">
        <v>3</v>
      </c>
      <c r="I45">
        <v>-4455.57</v>
      </c>
    </row>
    <row r="46" spans="1:9" x14ac:dyDescent="0.3">
      <c r="A46" t="s">
        <v>71</v>
      </c>
      <c r="B46" t="s">
        <v>10</v>
      </c>
      <c r="C46" t="s">
        <v>16</v>
      </c>
      <c r="D46" s="8">
        <v>45077</v>
      </c>
      <c r="E46" t="s">
        <v>12</v>
      </c>
      <c r="F46" t="s">
        <v>13</v>
      </c>
      <c r="G46">
        <v>22808.1</v>
      </c>
      <c r="H46">
        <v>1</v>
      </c>
      <c r="I46">
        <v>6439</v>
      </c>
    </row>
    <row r="47" spans="1:9" x14ac:dyDescent="0.3">
      <c r="A47" t="s">
        <v>72</v>
      </c>
      <c r="B47" t="s">
        <v>25</v>
      </c>
      <c r="C47" t="s">
        <v>11</v>
      </c>
      <c r="D47" s="8">
        <v>45263</v>
      </c>
      <c r="E47" t="s">
        <v>12</v>
      </c>
      <c r="F47" t="s">
        <v>13</v>
      </c>
      <c r="G47">
        <v>39813.15</v>
      </c>
      <c r="H47">
        <v>5</v>
      </c>
      <c r="I47">
        <v>-277.19</v>
      </c>
    </row>
    <row r="48" spans="1:9" x14ac:dyDescent="0.3">
      <c r="A48" t="s">
        <v>73</v>
      </c>
      <c r="B48" t="s">
        <v>36</v>
      </c>
      <c r="C48" t="s">
        <v>27</v>
      </c>
      <c r="D48" s="8">
        <v>45225</v>
      </c>
      <c r="E48" t="s">
        <v>17</v>
      </c>
      <c r="F48" t="s">
        <v>18</v>
      </c>
      <c r="G48">
        <v>46529.16</v>
      </c>
      <c r="H48">
        <v>1</v>
      </c>
      <c r="I48">
        <v>-1684.77</v>
      </c>
    </row>
    <row r="49" spans="1:9" x14ac:dyDescent="0.3">
      <c r="A49" t="s">
        <v>74</v>
      </c>
      <c r="B49" t="s">
        <v>20</v>
      </c>
      <c r="C49" t="s">
        <v>16</v>
      </c>
      <c r="D49" s="8">
        <v>45155</v>
      </c>
      <c r="E49" t="s">
        <v>33</v>
      </c>
      <c r="F49" t="s">
        <v>18</v>
      </c>
      <c r="G49">
        <v>7002.69</v>
      </c>
      <c r="H49">
        <v>5</v>
      </c>
      <c r="I49">
        <v>5004.8500000000004</v>
      </c>
    </row>
    <row r="50" spans="1:9" x14ac:dyDescent="0.3">
      <c r="A50" t="s">
        <v>75</v>
      </c>
      <c r="B50" t="s">
        <v>23</v>
      </c>
      <c r="C50" t="s">
        <v>16</v>
      </c>
      <c r="D50" s="8">
        <v>45108</v>
      </c>
      <c r="E50" t="s">
        <v>31</v>
      </c>
      <c r="F50" t="s">
        <v>13</v>
      </c>
      <c r="G50">
        <v>20071.740000000002</v>
      </c>
      <c r="H50">
        <v>2</v>
      </c>
      <c r="I50">
        <v>7877.48</v>
      </c>
    </row>
    <row r="51" spans="1:9" x14ac:dyDescent="0.3">
      <c r="A51" t="s">
        <v>76</v>
      </c>
      <c r="B51" t="s">
        <v>36</v>
      </c>
      <c r="C51" t="s">
        <v>27</v>
      </c>
      <c r="D51" s="8">
        <v>45194</v>
      </c>
      <c r="E51" t="s">
        <v>33</v>
      </c>
      <c r="F51" t="s">
        <v>18</v>
      </c>
      <c r="G51">
        <v>10443.450000000001</v>
      </c>
      <c r="H51">
        <v>1</v>
      </c>
      <c r="I51">
        <v>10050.33</v>
      </c>
    </row>
    <row r="52" spans="1:9" x14ac:dyDescent="0.3">
      <c r="A52" t="s">
        <v>77</v>
      </c>
      <c r="B52" t="s">
        <v>10</v>
      </c>
      <c r="C52" t="s">
        <v>27</v>
      </c>
      <c r="D52" s="8">
        <v>44968</v>
      </c>
      <c r="E52" t="s">
        <v>12</v>
      </c>
      <c r="F52" t="s">
        <v>18</v>
      </c>
      <c r="G52">
        <v>26566.79</v>
      </c>
      <c r="H52">
        <v>2</v>
      </c>
      <c r="I52">
        <v>6290.13</v>
      </c>
    </row>
    <row r="53" spans="1:9" x14ac:dyDescent="0.3">
      <c r="A53" t="s">
        <v>78</v>
      </c>
      <c r="B53" t="s">
        <v>10</v>
      </c>
      <c r="C53" t="s">
        <v>16</v>
      </c>
      <c r="D53" s="8">
        <v>45006</v>
      </c>
      <c r="E53" t="s">
        <v>12</v>
      </c>
      <c r="F53" t="s">
        <v>13</v>
      </c>
      <c r="G53">
        <v>35541.410000000003</v>
      </c>
      <c r="H53">
        <v>1</v>
      </c>
      <c r="I53">
        <v>11068.01</v>
      </c>
    </row>
    <row r="54" spans="1:9" x14ac:dyDescent="0.3">
      <c r="A54" t="s">
        <v>79</v>
      </c>
      <c r="B54" t="s">
        <v>15</v>
      </c>
      <c r="C54" t="s">
        <v>11</v>
      </c>
      <c r="D54" s="8">
        <v>45256</v>
      </c>
      <c r="E54" t="s">
        <v>31</v>
      </c>
      <c r="F54" t="s">
        <v>18</v>
      </c>
      <c r="G54">
        <v>37148.74</v>
      </c>
      <c r="H54">
        <v>5</v>
      </c>
      <c r="I54">
        <v>3841.05</v>
      </c>
    </row>
    <row r="55" spans="1:9" x14ac:dyDescent="0.3">
      <c r="A55" t="s">
        <v>80</v>
      </c>
      <c r="B55" t="s">
        <v>23</v>
      </c>
      <c r="C55" t="s">
        <v>39</v>
      </c>
      <c r="D55" s="8">
        <v>45079</v>
      </c>
      <c r="E55" t="s">
        <v>33</v>
      </c>
      <c r="F55" t="s">
        <v>18</v>
      </c>
      <c r="G55">
        <v>37600.86</v>
      </c>
      <c r="H55">
        <v>1</v>
      </c>
      <c r="I55">
        <v>7730.97</v>
      </c>
    </row>
    <row r="56" spans="1:9" x14ac:dyDescent="0.3">
      <c r="A56" t="s">
        <v>81</v>
      </c>
      <c r="B56" t="s">
        <v>36</v>
      </c>
      <c r="C56" t="s">
        <v>27</v>
      </c>
      <c r="D56" s="8">
        <v>45166</v>
      </c>
      <c r="E56" t="s">
        <v>31</v>
      </c>
      <c r="F56" t="s">
        <v>18</v>
      </c>
      <c r="G56">
        <v>36041.82</v>
      </c>
      <c r="H56">
        <v>1</v>
      </c>
      <c r="I56">
        <v>13403.94</v>
      </c>
    </row>
    <row r="57" spans="1:9" x14ac:dyDescent="0.3">
      <c r="A57" t="s">
        <v>82</v>
      </c>
      <c r="B57" t="s">
        <v>25</v>
      </c>
      <c r="C57" t="s">
        <v>27</v>
      </c>
      <c r="D57" s="8">
        <v>45058</v>
      </c>
      <c r="E57" t="s">
        <v>33</v>
      </c>
      <c r="F57" t="s">
        <v>13</v>
      </c>
      <c r="G57">
        <v>16656.57</v>
      </c>
      <c r="H57">
        <v>2</v>
      </c>
      <c r="I57">
        <v>5609.43</v>
      </c>
    </row>
    <row r="58" spans="1:9" x14ac:dyDescent="0.3">
      <c r="A58" t="s">
        <v>83</v>
      </c>
      <c r="B58" t="s">
        <v>10</v>
      </c>
      <c r="C58" t="s">
        <v>27</v>
      </c>
      <c r="D58" s="8">
        <v>45063</v>
      </c>
      <c r="E58" t="s">
        <v>17</v>
      </c>
      <c r="F58" t="s">
        <v>13</v>
      </c>
      <c r="G58">
        <v>27997</v>
      </c>
      <c r="H58">
        <v>2</v>
      </c>
      <c r="I58">
        <v>-1706.51</v>
      </c>
    </row>
    <row r="59" spans="1:9" x14ac:dyDescent="0.3">
      <c r="A59" t="s">
        <v>84</v>
      </c>
      <c r="B59" t="s">
        <v>20</v>
      </c>
      <c r="C59" t="s">
        <v>27</v>
      </c>
      <c r="D59" s="8">
        <v>45119</v>
      </c>
      <c r="E59" t="s">
        <v>17</v>
      </c>
      <c r="F59" t="s">
        <v>18</v>
      </c>
      <c r="G59">
        <v>16617.55</v>
      </c>
      <c r="H59">
        <v>1</v>
      </c>
      <c r="I59">
        <v>-773.53</v>
      </c>
    </row>
    <row r="60" spans="1:9" x14ac:dyDescent="0.3">
      <c r="A60" t="s">
        <v>85</v>
      </c>
      <c r="B60" t="s">
        <v>10</v>
      </c>
      <c r="C60" t="s">
        <v>39</v>
      </c>
      <c r="D60" s="8">
        <v>45058</v>
      </c>
      <c r="E60" t="s">
        <v>12</v>
      </c>
      <c r="F60" t="s">
        <v>18</v>
      </c>
      <c r="G60">
        <v>48039.93</v>
      </c>
      <c r="H60">
        <v>5</v>
      </c>
      <c r="I60">
        <v>10866.16</v>
      </c>
    </row>
    <row r="61" spans="1:9" x14ac:dyDescent="0.3">
      <c r="A61" t="s">
        <v>86</v>
      </c>
      <c r="B61" t="s">
        <v>20</v>
      </c>
      <c r="C61" t="s">
        <v>11</v>
      </c>
      <c r="D61" s="8">
        <v>45133</v>
      </c>
      <c r="E61" t="s">
        <v>29</v>
      </c>
      <c r="F61" t="s">
        <v>13</v>
      </c>
      <c r="G61">
        <v>3651.67</v>
      </c>
      <c r="H61">
        <v>1</v>
      </c>
      <c r="I61">
        <v>5755.69</v>
      </c>
    </row>
    <row r="62" spans="1:9" x14ac:dyDescent="0.3">
      <c r="A62" t="s">
        <v>87</v>
      </c>
      <c r="B62" t="s">
        <v>36</v>
      </c>
      <c r="C62" t="s">
        <v>27</v>
      </c>
      <c r="D62" s="8">
        <v>45098</v>
      </c>
      <c r="E62" t="s">
        <v>33</v>
      </c>
      <c r="F62" t="s">
        <v>18</v>
      </c>
      <c r="G62">
        <v>26649.74</v>
      </c>
      <c r="H62">
        <v>2</v>
      </c>
      <c r="I62">
        <v>8660.14</v>
      </c>
    </row>
    <row r="63" spans="1:9" x14ac:dyDescent="0.3">
      <c r="A63" t="s">
        <v>88</v>
      </c>
      <c r="B63" t="s">
        <v>36</v>
      </c>
      <c r="C63" t="s">
        <v>21</v>
      </c>
      <c r="D63" s="8">
        <v>45246</v>
      </c>
      <c r="E63" t="s">
        <v>12</v>
      </c>
      <c r="F63" t="s">
        <v>18</v>
      </c>
      <c r="G63">
        <v>5426.29</v>
      </c>
      <c r="H63">
        <v>4</v>
      </c>
      <c r="I63">
        <v>-492.05</v>
      </c>
    </row>
    <row r="64" spans="1:9" x14ac:dyDescent="0.3">
      <c r="A64" t="s">
        <v>89</v>
      </c>
      <c r="B64" t="s">
        <v>15</v>
      </c>
      <c r="C64" t="s">
        <v>21</v>
      </c>
      <c r="D64" s="8">
        <v>45138</v>
      </c>
      <c r="E64" t="s">
        <v>33</v>
      </c>
      <c r="F64" t="s">
        <v>13</v>
      </c>
      <c r="G64">
        <v>43210.37</v>
      </c>
      <c r="H64">
        <v>5</v>
      </c>
      <c r="I64">
        <v>-4204.3599999999997</v>
      </c>
    </row>
    <row r="65" spans="1:9" x14ac:dyDescent="0.3">
      <c r="A65" t="s">
        <v>90</v>
      </c>
      <c r="B65" t="s">
        <v>10</v>
      </c>
      <c r="C65" t="s">
        <v>11</v>
      </c>
      <c r="D65" s="8">
        <v>44930</v>
      </c>
      <c r="E65" t="s">
        <v>12</v>
      </c>
      <c r="F65" t="s">
        <v>18</v>
      </c>
      <c r="G65">
        <v>27619.439999999999</v>
      </c>
      <c r="H65">
        <v>2</v>
      </c>
      <c r="I65">
        <v>2418.38</v>
      </c>
    </row>
    <row r="66" spans="1:9" x14ac:dyDescent="0.3">
      <c r="A66" t="s">
        <v>91</v>
      </c>
      <c r="B66" t="s">
        <v>25</v>
      </c>
      <c r="C66" t="s">
        <v>11</v>
      </c>
      <c r="D66" s="8">
        <v>44998</v>
      </c>
      <c r="E66" t="s">
        <v>33</v>
      </c>
      <c r="F66" t="s">
        <v>18</v>
      </c>
      <c r="G66">
        <v>3029.59</v>
      </c>
      <c r="H66">
        <v>3</v>
      </c>
      <c r="I66">
        <v>-4260.25</v>
      </c>
    </row>
    <row r="67" spans="1:9" x14ac:dyDescent="0.3">
      <c r="A67" t="s">
        <v>92</v>
      </c>
      <c r="B67" t="s">
        <v>10</v>
      </c>
      <c r="C67" t="s">
        <v>39</v>
      </c>
      <c r="D67" s="8">
        <v>45172</v>
      </c>
      <c r="E67" t="s">
        <v>29</v>
      </c>
      <c r="F67" t="s">
        <v>13</v>
      </c>
      <c r="G67">
        <v>5622.95</v>
      </c>
      <c r="H67">
        <v>1</v>
      </c>
      <c r="I67">
        <v>10960.44</v>
      </c>
    </row>
    <row r="68" spans="1:9" x14ac:dyDescent="0.3">
      <c r="A68" t="s">
        <v>93</v>
      </c>
      <c r="B68" t="s">
        <v>15</v>
      </c>
      <c r="C68" t="s">
        <v>27</v>
      </c>
      <c r="D68" s="8">
        <v>45148</v>
      </c>
      <c r="E68" t="s">
        <v>31</v>
      </c>
      <c r="F68" t="s">
        <v>18</v>
      </c>
      <c r="G68">
        <v>21055.360000000001</v>
      </c>
      <c r="H68">
        <v>2</v>
      </c>
      <c r="I68">
        <v>10788.47</v>
      </c>
    </row>
    <row r="69" spans="1:9" x14ac:dyDescent="0.3">
      <c r="A69" t="s">
        <v>94</v>
      </c>
      <c r="B69" t="s">
        <v>25</v>
      </c>
      <c r="C69" t="s">
        <v>39</v>
      </c>
      <c r="D69" s="8">
        <v>44979</v>
      </c>
      <c r="E69" t="s">
        <v>17</v>
      </c>
      <c r="F69" t="s">
        <v>13</v>
      </c>
      <c r="G69">
        <v>35108.92</v>
      </c>
      <c r="H69">
        <v>4</v>
      </c>
      <c r="I69">
        <v>-4991.33</v>
      </c>
    </row>
    <row r="70" spans="1:9" x14ac:dyDescent="0.3">
      <c r="A70" t="s">
        <v>95</v>
      </c>
      <c r="B70" t="s">
        <v>25</v>
      </c>
      <c r="C70" t="s">
        <v>39</v>
      </c>
      <c r="D70" s="8">
        <v>44994</v>
      </c>
      <c r="E70" t="s">
        <v>31</v>
      </c>
      <c r="F70" t="s">
        <v>13</v>
      </c>
      <c r="G70">
        <v>26425.62</v>
      </c>
      <c r="H70">
        <v>1</v>
      </c>
      <c r="I70">
        <v>295.29000000000002</v>
      </c>
    </row>
    <row r="71" spans="1:9" x14ac:dyDescent="0.3">
      <c r="A71" t="s">
        <v>96</v>
      </c>
      <c r="B71" t="s">
        <v>23</v>
      </c>
      <c r="C71" t="s">
        <v>21</v>
      </c>
      <c r="D71" s="8">
        <v>45088</v>
      </c>
      <c r="E71" t="s">
        <v>33</v>
      </c>
      <c r="F71" t="s">
        <v>13</v>
      </c>
      <c r="G71">
        <v>32724.35</v>
      </c>
      <c r="H71">
        <v>3</v>
      </c>
      <c r="I71">
        <v>6462.06</v>
      </c>
    </row>
    <row r="72" spans="1:9" x14ac:dyDescent="0.3">
      <c r="A72" t="s">
        <v>97</v>
      </c>
      <c r="B72" t="s">
        <v>23</v>
      </c>
      <c r="C72" t="s">
        <v>16</v>
      </c>
      <c r="D72" s="8">
        <v>45063</v>
      </c>
      <c r="E72" t="s">
        <v>29</v>
      </c>
      <c r="F72" t="s">
        <v>18</v>
      </c>
      <c r="G72">
        <v>1291.98</v>
      </c>
      <c r="H72">
        <v>2</v>
      </c>
      <c r="I72">
        <v>-4282.45</v>
      </c>
    </row>
    <row r="73" spans="1:9" x14ac:dyDescent="0.3">
      <c r="A73" t="s">
        <v>98</v>
      </c>
      <c r="B73" t="s">
        <v>23</v>
      </c>
      <c r="C73" t="s">
        <v>16</v>
      </c>
      <c r="D73" s="8">
        <v>44940</v>
      </c>
      <c r="E73" t="s">
        <v>17</v>
      </c>
      <c r="F73" t="s">
        <v>13</v>
      </c>
      <c r="G73">
        <v>24204.21</v>
      </c>
      <c r="H73">
        <v>5</v>
      </c>
      <c r="I73">
        <v>-315.37</v>
      </c>
    </row>
    <row r="74" spans="1:9" x14ac:dyDescent="0.3">
      <c r="A74" t="s">
        <v>99</v>
      </c>
      <c r="B74" t="s">
        <v>10</v>
      </c>
      <c r="C74" t="s">
        <v>11</v>
      </c>
      <c r="D74" s="8">
        <v>44932</v>
      </c>
      <c r="E74" t="s">
        <v>12</v>
      </c>
      <c r="F74" t="s">
        <v>18</v>
      </c>
      <c r="G74">
        <v>3781.86</v>
      </c>
      <c r="H74">
        <v>1</v>
      </c>
      <c r="I74">
        <v>7529.26</v>
      </c>
    </row>
    <row r="75" spans="1:9" x14ac:dyDescent="0.3">
      <c r="A75" t="s">
        <v>100</v>
      </c>
      <c r="B75" t="s">
        <v>25</v>
      </c>
      <c r="C75" t="s">
        <v>11</v>
      </c>
      <c r="D75" s="8">
        <v>45221</v>
      </c>
      <c r="E75" t="s">
        <v>29</v>
      </c>
      <c r="F75" t="s">
        <v>13</v>
      </c>
      <c r="G75">
        <v>41400.339999999997</v>
      </c>
      <c r="H75">
        <v>3</v>
      </c>
      <c r="I75">
        <v>9073.36</v>
      </c>
    </row>
    <row r="76" spans="1:9" x14ac:dyDescent="0.3">
      <c r="A76" t="s">
        <v>101</v>
      </c>
      <c r="B76" t="s">
        <v>23</v>
      </c>
      <c r="C76" t="s">
        <v>21</v>
      </c>
      <c r="D76" s="8">
        <v>44953</v>
      </c>
      <c r="E76" t="s">
        <v>17</v>
      </c>
      <c r="F76" t="s">
        <v>13</v>
      </c>
      <c r="G76">
        <v>45883.43</v>
      </c>
      <c r="H76">
        <v>3</v>
      </c>
      <c r="I76">
        <v>12086.86</v>
      </c>
    </row>
    <row r="77" spans="1:9" x14ac:dyDescent="0.3">
      <c r="A77" t="s">
        <v>102</v>
      </c>
      <c r="B77" t="s">
        <v>20</v>
      </c>
      <c r="C77" t="s">
        <v>21</v>
      </c>
      <c r="D77" s="8">
        <v>45239</v>
      </c>
      <c r="E77" t="s">
        <v>29</v>
      </c>
      <c r="F77" t="s">
        <v>13</v>
      </c>
      <c r="G77">
        <v>30642.82</v>
      </c>
      <c r="H77">
        <v>2</v>
      </c>
      <c r="I77">
        <v>5259.6</v>
      </c>
    </row>
    <row r="78" spans="1:9" x14ac:dyDescent="0.3">
      <c r="A78" t="s">
        <v>103</v>
      </c>
      <c r="B78" t="s">
        <v>36</v>
      </c>
      <c r="C78" t="s">
        <v>39</v>
      </c>
      <c r="D78" s="8">
        <v>45193</v>
      </c>
      <c r="E78" t="s">
        <v>17</v>
      </c>
      <c r="F78" t="s">
        <v>18</v>
      </c>
      <c r="G78">
        <v>30161.02</v>
      </c>
      <c r="H78">
        <v>4</v>
      </c>
      <c r="I78">
        <v>10914.03</v>
      </c>
    </row>
    <row r="79" spans="1:9" x14ac:dyDescent="0.3">
      <c r="A79" t="s">
        <v>104</v>
      </c>
      <c r="B79" t="s">
        <v>25</v>
      </c>
      <c r="C79" t="s">
        <v>39</v>
      </c>
      <c r="D79" s="8">
        <v>45059</v>
      </c>
      <c r="E79" t="s">
        <v>17</v>
      </c>
      <c r="F79" t="s">
        <v>13</v>
      </c>
      <c r="G79">
        <v>20277.55</v>
      </c>
      <c r="H79">
        <v>4</v>
      </c>
      <c r="I79">
        <v>4185.3500000000004</v>
      </c>
    </row>
    <row r="80" spans="1:9" x14ac:dyDescent="0.3">
      <c r="A80" t="s">
        <v>105</v>
      </c>
      <c r="B80" t="s">
        <v>25</v>
      </c>
      <c r="C80" t="s">
        <v>39</v>
      </c>
      <c r="D80" s="8">
        <v>44984</v>
      </c>
      <c r="E80" t="s">
        <v>17</v>
      </c>
      <c r="F80" t="s">
        <v>13</v>
      </c>
      <c r="G80">
        <v>36985.81</v>
      </c>
      <c r="H80">
        <v>2</v>
      </c>
      <c r="I80">
        <v>1479.24</v>
      </c>
    </row>
    <row r="81" spans="1:9" x14ac:dyDescent="0.3">
      <c r="A81" t="s">
        <v>106</v>
      </c>
      <c r="B81" t="s">
        <v>23</v>
      </c>
      <c r="C81" t="s">
        <v>11</v>
      </c>
      <c r="D81" s="8">
        <v>44984</v>
      </c>
      <c r="E81" t="s">
        <v>33</v>
      </c>
      <c r="F81" t="s">
        <v>18</v>
      </c>
      <c r="G81">
        <v>43947.1</v>
      </c>
      <c r="H81">
        <v>4</v>
      </c>
      <c r="I81">
        <v>54.15</v>
      </c>
    </row>
    <row r="82" spans="1:9" x14ac:dyDescent="0.3">
      <c r="A82" t="s">
        <v>107</v>
      </c>
      <c r="B82" t="s">
        <v>36</v>
      </c>
      <c r="C82" t="s">
        <v>21</v>
      </c>
      <c r="D82" s="8">
        <v>44943</v>
      </c>
      <c r="E82" t="s">
        <v>31</v>
      </c>
      <c r="F82" t="s">
        <v>18</v>
      </c>
      <c r="G82">
        <v>17725.86</v>
      </c>
      <c r="H82">
        <v>1</v>
      </c>
      <c r="I82">
        <v>9885.76</v>
      </c>
    </row>
    <row r="83" spans="1:9" x14ac:dyDescent="0.3">
      <c r="A83" t="s">
        <v>108</v>
      </c>
      <c r="B83" t="s">
        <v>15</v>
      </c>
      <c r="C83" t="s">
        <v>27</v>
      </c>
      <c r="D83" s="8">
        <v>45153</v>
      </c>
      <c r="E83" t="s">
        <v>29</v>
      </c>
      <c r="F83" t="s">
        <v>18</v>
      </c>
      <c r="G83">
        <v>43710.31</v>
      </c>
      <c r="H83">
        <v>1</v>
      </c>
      <c r="I83">
        <v>9022.42</v>
      </c>
    </row>
    <row r="84" spans="1:9" x14ac:dyDescent="0.3">
      <c r="A84" t="s">
        <v>109</v>
      </c>
      <c r="B84" t="s">
        <v>20</v>
      </c>
      <c r="C84" t="s">
        <v>39</v>
      </c>
      <c r="D84" s="8">
        <v>45228</v>
      </c>
      <c r="E84" t="s">
        <v>33</v>
      </c>
      <c r="F84" t="s">
        <v>18</v>
      </c>
      <c r="G84">
        <v>32084.58</v>
      </c>
      <c r="H84">
        <v>1</v>
      </c>
      <c r="I84">
        <v>13187.62</v>
      </c>
    </row>
    <row r="85" spans="1:9" x14ac:dyDescent="0.3">
      <c r="A85" t="s">
        <v>110</v>
      </c>
      <c r="B85" t="s">
        <v>23</v>
      </c>
      <c r="C85" t="s">
        <v>16</v>
      </c>
      <c r="D85" s="8">
        <v>45018</v>
      </c>
      <c r="E85" t="s">
        <v>17</v>
      </c>
      <c r="F85" t="s">
        <v>13</v>
      </c>
      <c r="G85">
        <v>44765.02</v>
      </c>
      <c r="H85">
        <v>3</v>
      </c>
      <c r="I85">
        <v>-3737.42</v>
      </c>
    </row>
    <row r="86" spans="1:9" x14ac:dyDescent="0.3">
      <c r="A86" t="s">
        <v>111</v>
      </c>
      <c r="B86" t="s">
        <v>36</v>
      </c>
      <c r="C86" t="s">
        <v>21</v>
      </c>
      <c r="D86" s="8">
        <v>44949</v>
      </c>
      <c r="E86" t="s">
        <v>29</v>
      </c>
      <c r="F86" t="s">
        <v>18</v>
      </c>
      <c r="G86">
        <v>43663.62</v>
      </c>
      <c r="H86">
        <v>2</v>
      </c>
      <c r="I86">
        <v>2424.29</v>
      </c>
    </row>
    <row r="87" spans="1:9" x14ac:dyDescent="0.3">
      <c r="A87" t="s">
        <v>112</v>
      </c>
      <c r="B87" t="s">
        <v>36</v>
      </c>
      <c r="C87" t="s">
        <v>11</v>
      </c>
      <c r="D87" s="8">
        <v>45145</v>
      </c>
      <c r="E87" t="s">
        <v>31</v>
      </c>
      <c r="F87" t="s">
        <v>13</v>
      </c>
      <c r="G87">
        <v>38113.74</v>
      </c>
      <c r="H87">
        <v>2</v>
      </c>
      <c r="I87">
        <v>-980.23</v>
      </c>
    </row>
    <row r="88" spans="1:9" x14ac:dyDescent="0.3">
      <c r="A88" t="s">
        <v>113</v>
      </c>
      <c r="B88" t="s">
        <v>10</v>
      </c>
      <c r="C88" t="s">
        <v>11</v>
      </c>
      <c r="D88" s="8">
        <v>45097</v>
      </c>
      <c r="E88" t="s">
        <v>12</v>
      </c>
      <c r="F88" t="s">
        <v>18</v>
      </c>
      <c r="G88">
        <v>9312.0400000000009</v>
      </c>
      <c r="H88">
        <v>5</v>
      </c>
      <c r="I88">
        <v>4763.75</v>
      </c>
    </row>
    <row r="89" spans="1:9" x14ac:dyDescent="0.3">
      <c r="A89" t="s">
        <v>114</v>
      </c>
      <c r="B89" t="s">
        <v>25</v>
      </c>
      <c r="C89" t="s">
        <v>16</v>
      </c>
      <c r="D89" s="8">
        <v>45255</v>
      </c>
      <c r="E89" t="s">
        <v>17</v>
      </c>
      <c r="F89" t="s">
        <v>18</v>
      </c>
      <c r="G89">
        <v>12930.8</v>
      </c>
      <c r="H89">
        <v>4</v>
      </c>
      <c r="I89">
        <v>491.54</v>
      </c>
    </row>
    <row r="90" spans="1:9" x14ac:dyDescent="0.3">
      <c r="A90" t="s">
        <v>115</v>
      </c>
      <c r="B90" t="s">
        <v>25</v>
      </c>
      <c r="C90" t="s">
        <v>27</v>
      </c>
      <c r="D90" s="8">
        <v>45027</v>
      </c>
      <c r="E90" t="s">
        <v>31</v>
      </c>
      <c r="F90" t="s">
        <v>13</v>
      </c>
      <c r="G90">
        <v>22458.66</v>
      </c>
      <c r="H90">
        <v>2</v>
      </c>
      <c r="I90">
        <v>-4665.17</v>
      </c>
    </row>
    <row r="91" spans="1:9" x14ac:dyDescent="0.3">
      <c r="A91" t="s">
        <v>116</v>
      </c>
      <c r="B91" t="s">
        <v>23</v>
      </c>
      <c r="C91" t="s">
        <v>11</v>
      </c>
      <c r="D91" s="8">
        <v>45253</v>
      </c>
      <c r="E91" t="s">
        <v>31</v>
      </c>
      <c r="F91" t="s">
        <v>18</v>
      </c>
      <c r="G91">
        <v>16705.29</v>
      </c>
      <c r="H91">
        <v>1</v>
      </c>
      <c r="I91">
        <v>-4339.54</v>
      </c>
    </row>
    <row r="92" spans="1:9" x14ac:dyDescent="0.3">
      <c r="A92" t="s">
        <v>117</v>
      </c>
      <c r="B92" t="s">
        <v>10</v>
      </c>
      <c r="C92" t="s">
        <v>11</v>
      </c>
      <c r="D92" s="8">
        <v>44929</v>
      </c>
      <c r="E92" t="s">
        <v>31</v>
      </c>
      <c r="F92" t="s">
        <v>13</v>
      </c>
      <c r="G92">
        <v>34023.93</v>
      </c>
      <c r="H92">
        <v>4</v>
      </c>
      <c r="I92">
        <v>3371.38</v>
      </c>
    </row>
    <row r="93" spans="1:9" x14ac:dyDescent="0.3">
      <c r="A93" t="s">
        <v>118</v>
      </c>
      <c r="B93" t="s">
        <v>15</v>
      </c>
      <c r="C93" t="s">
        <v>11</v>
      </c>
      <c r="D93" s="8">
        <v>45105</v>
      </c>
      <c r="E93" t="s">
        <v>12</v>
      </c>
      <c r="F93" t="s">
        <v>13</v>
      </c>
      <c r="G93">
        <v>4752.82</v>
      </c>
      <c r="H93">
        <v>3</v>
      </c>
      <c r="I93">
        <v>-2240.9899999999998</v>
      </c>
    </row>
    <row r="94" spans="1:9" x14ac:dyDescent="0.3">
      <c r="A94" t="s">
        <v>119</v>
      </c>
      <c r="B94" t="s">
        <v>10</v>
      </c>
      <c r="C94" t="s">
        <v>21</v>
      </c>
      <c r="D94" s="8">
        <v>44997</v>
      </c>
      <c r="E94" t="s">
        <v>33</v>
      </c>
      <c r="F94" t="s">
        <v>13</v>
      </c>
      <c r="G94">
        <v>2741.45</v>
      </c>
      <c r="H94">
        <v>1</v>
      </c>
      <c r="I94">
        <v>10981.62</v>
      </c>
    </row>
    <row r="95" spans="1:9" x14ac:dyDescent="0.3">
      <c r="A95" t="s">
        <v>120</v>
      </c>
      <c r="B95" t="s">
        <v>23</v>
      </c>
      <c r="C95" t="s">
        <v>39</v>
      </c>
      <c r="D95" s="8">
        <v>45280</v>
      </c>
      <c r="E95" t="s">
        <v>17</v>
      </c>
      <c r="F95" t="s">
        <v>18</v>
      </c>
      <c r="G95">
        <v>49476.49</v>
      </c>
      <c r="H95">
        <v>5</v>
      </c>
      <c r="I95">
        <v>9597.2900000000009</v>
      </c>
    </row>
    <row r="96" spans="1:9" x14ac:dyDescent="0.3">
      <c r="A96" t="s">
        <v>121</v>
      </c>
      <c r="B96" t="s">
        <v>25</v>
      </c>
      <c r="C96" t="s">
        <v>11</v>
      </c>
      <c r="D96" s="8">
        <v>45074</v>
      </c>
      <c r="E96" t="s">
        <v>12</v>
      </c>
      <c r="F96" t="s">
        <v>18</v>
      </c>
      <c r="G96">
        <v>34617.9</v>
      </c>
      <c r="H96">
        <v>5</v>
      </c>
      <c r="I96">
        <v>5497.01</v>
      </c>
    </row>
    <row r="97" spans="1:9" x14ac:dyDescent="0.3">
      <c r="A97" t="s">
        <v>122</v>
      </c>
      <c r="B97" t="s">
        <v>25</v>
      </c>
      <c r="C97" t="s">
        <v>21</v>
      </c>
      <c r="D97" s="8">
        <v>44963</v>
      </c>
      <c r="E97" t="s">
        <v>31</v>
      </c>
      <c r="F97" t="s">
        <v>13</v>
      </c>
      <c r="G97">
        <v>34560.019999999997</v>
      </c>
      <c r="H97">
        <v>1</v>
      </c>
      <c r="I97">
        <v>-4965.3</v>
      </c>
    </row>
    <row r="98" spans="1:9" x14ac:dyDescent="0.3">
      <c r="A98" t="s">
        <v>123</v>
      </c>
      <c r="B98" t="s">
        <v>15</v>
      </c>
      <c r="C98" t="s">
        <v>21</v>
      </c>
      <c r="D98" s="8">
        <v>45173</v>
      </c>
      <c r="E98" t="s">
        <v>33</v>
      </c>
      <c r="F98" t="s">
        <v>18</v>
      </c>
      <c r="G98">
        <v>27891.39</v>
      </c>
      <c r="H98">
        <v>4</v>
      </c>
      <c r="I98">
        <v>13923.16</v>
      </c>
    </row>
    <row r="99" spans="1:9" x14ac:dyDescent="0.3">
      <c r="A99" t="s">
        <v>124</v>
      </c>
      <c r="B99" t="s">
        <v>23</v>
      </c>
      <c r="C99" t="s">
        <v>11</v>
      </c>
      <c r="D99" s="8">
        <v>45244</v>
      </c>
      <c r="E99" t="s">
        <v>17</v>
      </c>
      <c r="F99" t="s">
        <v>18</v>
      </c>
      <c r="G99">
        <v>6150.04</v>
      </c>
      <c r="H99">
        <v>2</v>
      </c>
      <c r="I99">
        <v>-4329.6400000000003</v>
      </c>
    </row>
    <row r="100" spans="1:9" x14ac:dyDescent="0.3">
      <c r="A100" t="s">
        <v>125</v>
      </c>
      <c r="B100" t="s">
        <v>10</v>
      </c>
      <c r="C100" t="s">
        <v>21</v>
      </c>
      <c r="D100" s="8">
        <v>45206</v>
      </c>
      <c r="E100" t="s">
        <v>33</v>
      </c>
      <c r="F100" t="s">
        <v>13</v>
      </c>
      <c r="G100">
        <v>8485.59</v>
      </c>
      <c r="H100">
        <v>1</v>
      </c>
      <c r="I100">
        <v>-1138.8699999999999</v>
      </c>
    </row>
    <row r="101" spans="1:9" x14ac:dyDescent="0.3">
      <c r="A101" t="s">
        <v>126</v>
      </c>
      <c r="B101" t="s">
        <v>10</v>
      </c>
      <c r="C101" t="s">
        <v>11</v>
      </c>
      <c r="D101" s="8">
        <v>45028</v>
      </c>
      <c r="E101" t="s">
        <v>31</v>
      </c>
      <c r="F101" t="s">
        <v>18</v>
      </c>
      <c r="G101">
        <v>32607.77</v>
      </c>
      <c r="H101">
        <v>5</v>
      </c>
      <c r="I101">
        <v>13975.3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6046D-D8E8-4FE7-AF9A-5EF1C742D762}">
  <dimension ref="A1:D10"/>
  <sheetViews>
    <sheetView workbookViewId="0"/>
  </sheetViews>
  <sheetFormatPr defaultRowHeight="14.4" x14ac:dyDescent="0.3"/>
  <cols>
    <col min="1" max="1" width="25.77734375" customWidth="1"/>
    <col min="2" max="2" width="40.33203125" customWidth="1"/>
    <col min="3" max="3" width="14.88671875" customWidth="1"/>
    <col min="4" max="4" width="10.33203125" bestFit="1" customWidth="1"/>
  </cols>
  <sheetData>
    <row r="1" spans="1:4" x14ac:dyDescent="0.3">
      <c r="A1" s="3" t="s">
        <v>127</v>
      </c>
      <c r="B1" s="3" t="s">
        <v>128</v>
      </c>
      <c r="C1" s="3" t="s">
        <v>129</v>
      </c>
      <c r="D1" s="3" t="s">
        <v>130</v>
      </c>
    </row>
    <row r="2" spans="1:4" x14ac:dyDescent="0.3">
      <c r="A2" s="1" t="s">
        <v>0</v>
      </c>
      <c r="B2" s="1" t="s">
        <v>131</v>
      </c>
      <c r="C2" s="1" t="s">
        <v>132</v>
      </c>
      <c r="D2" s="1" t="s">
        <v>9</v>
      </c>
    </row>
    <row r="3" spans="1:4" x14ac:dyDescent="0.3">
      <c r="A3" s="1" t="s">
        <v>1</v>
      </c>
      <c r="B3" s="1" t="s">
        <v>133</v>
      </c>
      <c r="C3" s="1" t="s">
        <v>132</v>
      </c>
      <c r="D3" s="1" t="s">
        <v>10</v>
      </c>
    </row>
    <row r="4" spans="1:4" x14ac:dyDescent="0.3">
      <c r="A4" s="1" t="s">
        <v>2</v>
      </c>
      <c r="B4" s="1" t="s">
        <v>134</v>
      </c>
      <c r="C4" s="1" t="s">
        <v>132</v>
      </c>
      <c r="D4" s="1" t="s">
        <v>11</v>
      </c>
    </row>
    <row r="5" spans="1:4" x14ac:dyDescent="0.3">
      <c r="A5" s="1" t="s">
        <v>3</v>
      </c>
      <c r="B5" s="1" t="s">
        <v>135</v>
      </c>
      <c r="C5" s="1" t="s">
        <v>136</v>
      </c>
      <c r="D5" s="2">
        <v>45056</v>
      </c>
    </row>
    <row r="6" spans="1:4" x14ac:dyDescent="0.3">
      <c r="A6" s="1" t="s">
        <v>4</v>
      </c>
      <c r="B6" s="1" t="s">
        <v>137</v>
      </c>
      <c r="C6" s="1" t="s">
        <v>132</v>
      </c>
      <c r="D6" s="1" t="s">
        <v>29</v>
      </c>
    </row>
    <row r="7" spans="1:4" x14ac:dyDescent="0.3">
      <c r="A7" s="1" t="s">
        <v>5</v>
      </c>
      <c r="B7" s="1" t="s">
        <v>138</v>
      </c>
      <c r="C7" s="1" t="s">
        <v>132</v>
      </c>
      <c r="D7" s="1" t="s">
        <v>18</v>
      </c>
    </row>
    <row r="8" spans="1:4" x14ac:dyDescent="0.3">
      <c r="A8" s="1" t="s">
        <v>6</v>
      </c>
      <c r="B8" s="1" t="s">
        <v>139</v>
      </c>
      <c r="C8" s="1" t="s">
        <v>140</v>
      </c>
      <c r="D8" s="1">
        <v>25000</v>
      </c>
    </row>
    <row r="9" spans="1:4" x14ac:dyDescent="0.3">
      <c r="A9" s="1" t="s">
        <v>7</v>
      </c>
      <c r="B9" s="1" t="s">
        <v>141</v>
      </c>
      <c r="C9" s="1" t="s">
        <v>140</v>
      </c>
      <c r="D9" s="1">
        <v>2</v>
      </c>
    </row>
    <row r="10" spans="1:4" x14ac:dyDescent="0.3">
      <c r="A10" s="1" t="s">
        <v>8</v>
      </c>
      <c r="B10" s="1" t="s">
        <v>142</v>
      </c>
      <c r="C10" s="1" t="s">
        <v>140</v>
      </c>
      <c r="D10" s="1">
        <v>-500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zoomScale="115" workbookViewId="0">
      <selection activeCell="L9" sqref="L9"/>
    </sheetView>
  </sheetViews>
  <sheetFormatPr defaultRowHeight="14.4" x14ac:dyDescent="0.3"/>
  <cols>
    <col min="1" max="1" width="8.44140625" style="4" bestFit="1" customWidth="1"/>
    <col min="2" max="2" width="14.88671875" style="7" bestFit="1" customWidth="1"/>
    <col min="3" max="3" width="8.88671875" style="7"/>
    <col min="4" max="4" width="12.77734375" style="5" bestFit="1" customWidth="1"/>
    <col min="5" max="5" width="11.109375" style="7" bestFit="1" customWidth="1"/>
    <col min="6" max="6" width="10.44140625" style="7" bestFit="1" customWidth="1"/>
    <col min="7" max="7" width="10.5546875" style="6" bestFit="1" customWidth="1"/>
    <col min="8" max="8" width="8.88671875" style="6"/>
    <col min="9" max="9" width="9" style="6" bestFit="1" customWidth="1"/>
    <col min="10" max="10" width="10.44140625" style="7" bestFit="1" customWidth="1"/>
    <col min="11" max="11" width="17.44140625" style="4" customWidth="1"/>
    <col min="12" max="16384" width="8.88671875" style="4"/>
  </cols>
  <sheetData>
    <row r="1" spans="1:13" x14ac:dyDescent="0.3">
      <c r="A1" s="4" t="s">
        <v>0</v>
      </c>
      <c r="B1" s="7" t="s">
        <v>1</v>
      </c>
      <c r="C1" s="7" t="s">
        <v>2</v>
      </c>
      <c r="D1" s="5" t="s">
        <v>3</v>
      </c>
      <c r="E1" s="7" t="s">
        <v>4</v>
      </c>
      <c r="F1" s="7" t="s">
        <v>5</v>
      </c>
      <c r="G1" s="6" t="s">
        <v>6</v>
      </c>
      <c r="H1" s="6" t="s">
        <v>7</v>
      </c>
      <c r="I1" s="6" t="s">
        <v>8</v>
      </c>
      <c r="J1" s="7" t="s">
        <v>143</v>
      </c>
    </row>
    <row r="2" spans="1:13" x14ac:dyDescent="0.3">
      <c r="A2" s="4" t="s">
        <v>9</v>
      </c>
      <c r="B2" s="7" t="s">
        <v>10</v>
      </c>
      <c r="C2" s="7" t="s">
        <v>11</v>
      </c>
      <c r="D2" s="5">
        <v>45241</v>
      </c>
      <c r="E2" s="7" t="s">
        <v>12</v>
      </c>
      <c r="F2" s="7" t="s">
        <v>13</v>
      </c>
      <c r="G2" s="6">
        <v>13558.24</v>
      </c>
      <c r="H2" s="6">
        <v>4</v>
      </c>
      <c r="I2" s="6">
        <v>7724.71</v>
      </c>
      <c r="J2" s="7" t="str">
        <f>IF(I2&gt;=0, "Profit","loss")</f>
        <v>Profit</v>
      </c>
      <c r="K2" s="16">
        <f>SUM(I2:I101)/SUM(G2:G101)*100</f>
        <v>15.74947239245259</v>
      </c>
    </row>
    <row r="3" spans="1:13" x14ac:dyDescent="0.3">
      <c r="A3" s="4" t="s">
        <v>28</v>
      </c>
      <c r="B3" s="7" t="s">
        <v>10</v>
      </c>
      <c r="C3" s="7" t="s">
        <v>27</v>
      </c>
      <c r="D3" s="5">
        <v>45144</v>
      </c>
      <c r="E3" s="7" t="s">
        <v>29</v>
      </c>
      <c r="F3" s="7" t="s">
        <v>13</v>
      </c>
      <c r="G3" s="6">
        <v>49460.12</v>
      </c>
      <c r="H3" s="6">
        <v>5</v>
      </c>
      <c r="I3" s="6">
        <v>6154.45</v>
      </c>
      <c r="J3" s="7" t="str">
        <f t="shared" ref="J3:J66" si="0">IF(I3&gt;=0, "Profit","loss")</f>
        <v>Profit</v>
      </c>
    </row>
    <row r="4" spans="1:13" x14ac:dyDescent="0.3">
      <c r="A4" s="4" t="s">
        <v>40</v>
      </c>
      <c r="B4" s="7" t="s">
        <v>10</v>
      </c>
      <c r="C4" s="7" t="s">
        <v>11</v>
      </c>
      <c r="D4" s="5">
        <v>45275</v>
      </c>
      <c r="E4" s="7" t="s">
        <v>31</v>
      </c>
      <c r="F4" s="7" t="s">
        <v>13</v>
      </c>
      <c r="G4" s="6">
        <v>42789.26</v>
      </c>
      <c r="H4" s="6">
        <v>1</v>
      </c>
      <c r="I4" s="6">
        <v>13061.46</v>
      </c>
      <c r="J4" s="7" t="str">
        <f t="shared" si="0"/>
        <v>Profit</v>
      </c>
      <c r="M4" s="16"/>
    </row>
    <row r="5" spans="1:13" x14ac:dyDescent="0.3">
      <c r="A5" s="4" t="s">
        <v>41</v>
      </c>
      <c r="B5" s="7" t="s">
        <v>10</v>
      </c>
      <c r="C5" s="7" t="s">
        <v>16</v>
      </c>
      <c r="D5" s="5">
        <v>45206</v>
      </c>
      <c r="E5" s="7" t="s">
        <v>31</v>
      </c>
      <c r="F5" s="7" t="s">
        <v>18</v>
      </c>
      <c r="G5" s="6">
        <v>47662.54</v>
      </c>
      <c r="H5" s="6">
        <v>1</v>
      </c>
      <c r="I5" s="6">
        <v>14892.65</v>
      </c>
      <c r="J5" s="7" t="str">
        <f t="shared" si="0"/>
        <v>Profit</v>
      </c>
    </row>
    <row r="6" spans="1:13" x14ac:dyDescent="0.3">
      <c r="A6" s="4" t="s">
        <v>42</v>
      </c>
      <c r="B6" s="7" t="s">
        <v>10</v>
      </c>
      <c r="C6" s="7" t="s">
        <v>16</v>
      </c>
      <c r="D6" s="5">
        <v>45151</v>
      </c>
      <c r="E6" s="7" t="s">
        <v>33</v>
      </c>
      <c r="F6" s="7" t="s">
        <v>18</v>
      </c>
      <c r="G6" s="6">
        <v>38624.99</v>
      </c>
      <c r="H6" s="6">
        <v>3</v>
      </c>
      <c r="I6" s="6">
        <v>6970.81</v>
      </c>
      <c r="J6" s="7" t="str">
        <f t="shared" si="0"/>
        <v>Profit</v>
      </c>
    </row>
    <row r="7" spans="1:13" x14ac:dyDescent="0.3">
      <c r="A7" s="4" t="s">
        <v>43</v>
      </c>
      <c r="B7" s="7" t="s">
        <v>10</v>
      </c>
      <c r="C7" s="7" t="s">
        <v>21</v>
      </c>
      <c r="D7" s="5">
        <v>45163</v>
      </c>
      <c r="E7" s="7" t="s">
        <v>12</v>
      </c>
      <c r="F7" s="7" t="s">
        <v>18</v>
      </c>
      <c r="G7" s="6">
        <v>16184.28</v>
      </c>
      <c r="H7" s="6">
        <v>4</v>
      </c>
      <c r="I7" s="6">
        <v>-410.99</v>
      </c>
      <c r="J7" s="7" t="str">
        <f t="shared" si="0"/>
        <v>loss</v>
      </c>
    </row>
    <row r="8" spans="1:13" x14ac:dyDescent="0.3">
      <c r="A8" s="4" t="s">
        <v>54</v>
      </c>
      <c r="B8" s="7" t="s">
        <v>10</v>
      </c>
      <c r="C8" s="7" t="s">
        <v>11</v>
      </c>
      <c r="D8" s="5">
        <v>45220</v>
      </c>
      <c r="E8" s="7" t="s">
        <v>33</v>
      </c>
      <c r="F8" s="7" t="s">
        <v>13</v>
      </c>
      <c r="G8" s="6">
        <v>36764.46</v>
      </c>
      <c r="H8" s="6">
        <v>4</v>
      </c>
      <c r="I8" s="6">
        <v>6904.11</v>
      </c>
      <c r="J8" s="7" t="str">
        <f t="shared" si="0"/>
        <v>Profit</v>
      </c>
    </row>
    <row r="9" spans="1:13" x14ac:dyDescent="0.3">
      <c r="A9" s="4" t="s">
        <v>71</v>
      </c>
      <c r="B9" s="7" t="s">
        <v>10</v>
      </c>
      <c r="C9" s="7" t="s">
        <v>16</v>
      </c>
      <c r="D9" s="5">
        <v>45077</v>
      </c>
      <c r="E9" s="7" t="s">
        <v>12</v>
      </c>
      <c r="F9" s="7" t="s">
        <v>13</v>
      </c>
      <c r="G9" s="6">
        <v>22808.1</v>
      </c>
      <c r="H9" s="6">
        <v>1</v>
      </c>
      <c r="I9" s="6">
        <v>6439</v>
      </c>
      <c r="J9" s="7" t="str">
        <f t="shared" si="0"/>
        <v>Profit</v>
      </c>
    </row>
    <row r="10" spans="1:13" x14ac:dyDescent="0.3">
      <c r="A10" s="4" t="s">
        <v>77</v>
      </c>
      <c r="B10" s="7" t="s">
        <v>10</v>
      </c>
      <c r="C10" s="7" t="s">
        <v>27</v>
      </c>
      <c r="D10" s="5">
        <v>44968</v>
      </c>
      <c r="E10" s="7" t="s">
        <v>12</v>
      </c>
      <c r="F10" s="7" t="s">
        <v>18</v>
      </c>
      <c r="G10" s="6">
        <v>26566.79</v>
      </c>
      <c r="H10" s="6">
        <v>2</v>
      </c>
      <c r="I10" s="6">
        <v>6290.13</v>
      </c>
      <c r="J10" s="7" t="str">
        <f t="shared" si="0"/>
        <v>Profit</v>
      </c>
    </row>
    <row r="11" spans="1:13" x14ac:dyDescent="0.3">
      <c r="A11" s="4" t="s">
        <v>78</v>
      </c>
      <c r="B11" s="7" t="s">
        <v>10</v>
      </c>
      <c r="C11" s="7" t="s">
        <v>16</v>
      </c>
      <c r="D11" s="5">
        <v>45006</v>
      </c>
      <c r="E11" s="7" t="s">
        <v>12</v>
      </c>
      <c r="F11" s="7" t="s">
        <v>13</v>
      </c>
      <c r="G11" s="6">
        <v>35541.410000000003</v>
      </c>
      <c r="H11" s="6">
        <v>1</v>
      </c>
      <c r="I11" s="6">
        <v>11068.01</v>
      </c>
      <c r="J11" s="7" t="str">
        <f t="shared" si="0"/>
        <v>Profit</v>
      </c>
    </row>
    <row r="12" spans="1:13" x14ac:dyDescent="0.3">
      <c r="A12" s="4" t="s">
        <v>83</v>
      </c>
      <c r="B12" s="7" t="s">
        <v>10</v>
      </c>
      <c r="C12" s="7" t="s">
        <v>27</v>
      </c>
      <c r="D12" s="5">
        <v>45063</v>
      </c>
      <c r="E12" s="7" t="s">
        <v>17</v>
      </c>
      <c r="F12" s="7" t="s">
        <v>13</v>
      </c>
      <c r="G12" s="6">
        <v>27997</v>
      </c>
      <c r="H12" s="6">
        <v>2</v>
      </c>
      <c r="I12" s="6">
        <v>-1706.51</v>
      </c>
      <c r="J12" s="7" t="str">
        <f t="shared" si="0"/>
        <v>loss</v>
      </c>
    </row>
    <row r="13" spans="1:13" x14ac:dyDescent="0.3">
      <c r="A13" s="4" t="s">
        <v>85</v>
      </c>
      <c r="B13" s="7" t="s">
        <v>10</v>
      </c>
      <c r="C13" s="7" t="s">
        <v>39</v>
      </c>
      <c r="D13" s="5">
        <v>45058</v>
      </c>
      <c r="E13" s="7" t="s">
        <v>12</v>
      </c>
      <c r="F13" s="7" t="s">
        <v>18</v>
      </c>
      <c r="G13" s="6">
        <v>48039.93</v>
      </c>
      <c r="H13" s="6">
        <v>5</v>
      </c>
      <c r="I13" s="6">
        <v>10866.16</v>
      </c>
      <c r="J13" s="7" t="str">
        <f t="shared" si="0"/>
        <v>Profit</v>
      </c>
    </row>
    <row r="14" spans="1:13" x14ac:dyDescent="0.3">
      <c r="A14" s="4" t="s">
        <v>90</v>
      </c>
      <c r="B14" s="7" t="s">
        <v>10</v>
      </c>
      <c r="C14" s="7" t="s">
        <v>11</v>
      </c>
      <c r="D14" s="5">
        <v>44930</v>
      </c>
      <c r="E14" s="7" t="s">
        <v>12</v>
      </c>
      <c r="F14" s="7" t="s">
        <v>18</v>
      </c>
      <c r="G14" s="6">
        <v>27619.439999999999</v>
      </c>
      <c r="H14" s="6">
        <v>2</v>
      </c>
      <c r="I14" s="6">
        <v>2418.38</v>
      </c>
      <c r="J14" s="7" t="str">
        <f t="shared" si="0"/>
        <v>Profit</v>
      </c>
    </row>
    <row r="15" spans="1:13" x14ac:dyDescent="0.3">
      <c r="A15" s="4" t="s">
        <v>92</v>
      </c>
      <c r="B15" s="7" t="s">
        <v>10</v>
      </c>
      <c r="C15" s="7" t="s">
        <v>39</v>
      </c>
      <c r="D15" s="5">
        <v>45172</v>
      </c>
      <c r="E15" s="7" t="s">
        <v>29</v>
      </c>
      <c r="F15" s="7" t="s">
        <v>13</v>
      </c>
      <c r="G15" s="6">
        <v>5622.95</v>
      </c>
      <c r="H15" s="6">
        <v>1</v>
      </c>
      <c r="I15" s="6">
        <v>10960.44</v>
      </c>
      <c r="J15" s="7" t="str">
        <f t="shared" si="0"/>
        <v>Profit</v>
      </c>
    </row>
    <row r="16" spans="1:13" x14ac:dyDescent="0.3">
      <c r="A16" s="4" t="s">
        <v>99</v>
      </c>
      <c r="B16" s="7" t="s">
        <v>10</v>
      </c>
      <c r="C16" s="7" t="s">
        <v>11</v>
      </c>
      <c r="D16" s="5">
        <v>44932</v>
      </c>
      <c r="E16" s="7" t="s">
        <v>12</v>
      </c>
      <c r="F16" s="7" t="s">
        <v>18</v>
      </c>
      <c r="G16" s="6">
        <v>3781.86</v>
      </c>
      <c r="H16" s="6">
        <v>1</v>
      </c>
      <c r="I16" s="6">
        <v>7529.26</v>
      </c>
      <c r="J16" s="7" t="str">
        <f t="shared" si="0"/>
        <v>Profit</v>
      </c>
    </row>
    <row r="17" spans="1:10" x14ac:dyDescent="0.3">
      <c r="A17" s="4" t="s">
        <v>113</v>
      </c>
      <c r="B17" s="7" t="s">
        <v>10</v>
      </c>
      <c r="C17" s="7" t="s">
        <v>11</v>
      </c>
      <c r="D17" s="5">
        <v>45097</v>
      </c>
      <c r="E17" s="7" t="s">
        <v>12</v>
      </c>
      <c r="F17" s="7" t="s">
        <v>18</v>
      </c>
      <c r="G17" s="6">
        <v>9312.0400000000009</v>
      </c>
      <c r="H17" s="6">
        <v>5</v>
      </c>
      <c r="I17" s="6">
        <v>4763.75</v>
      </c>
      <c r="J17" s="7" t="str">
        <f t="shared" si="0"/>
        <v>Profit</v>
      </c>
    </row>
    <row r="18" spans="1:10" x14ac:dyDescent="0.3">
      <c r="A18" s="4" t="s">
        <v>117</v>
      </c>
      <c r="B18" s="7" t="s">
        <v>10</v>
      </c>
      <c r="C18" s="7" t="s">
        <v>11</v>
      </c>
      <c r="D18" s="5">
        <v>44929</v>
      </c>
      <c r="E18" s="7" t="s">
        <v>31</v>
      </c>
      <c r="F18" s="7" t="s">
        <v>13</v>
      </c>
      <c r="G18" s="6">
        <v>34023.93</v>
      </c>
      <c r="H18" s="6">
        <v>4</v>
      </c>
      <c r="I18" s="6">
        <v>3371.38</v>
      </c>
      <c r="J18" s="7" t="str">
        <f t="shared" si="0"/>
        <v>Profit</v>
      </c>
    </row>
    <row r="19" spans="1:10" x14ac:dyDescent="0.3">
      <c r="A19" s="4" t="s">
        <v>119</v>
      </c>
      <c r="B19" s="7" t="s">
        <v>10</v>
      </c>
      <c r="C19" s="7" t="s">
        <v>21</v>
      </c>
      <c r="D19" s="5">
        <v>44997</v>
      </c>
      <c r="E19" s="7" t="s">
        <v>33</v>
      </c>
      <c r="F19" s="7" t="s">
        <v>13</v>
      </c>
      <c r="G19" s="6">
        <v>2741.45</v>
      </c>
      <c r="H19" s="6">
        <v>1</v>
      </c>
      <c r="I19" s="6">
        <v>10981.62</v>
      </c>
      <c r="J19" s="7" t="str">
        <f t="shared" si="0"/>
        <v>Profit</v>
      </c>
    </row>
    <row r="20" spans="1:10" x14ac:dyDescent="0.3">
      <c r="A20" s="4" t="s">
        <v>125</v>
      </c>
      <c r="B20" s="7" t="s">
        <v>10</v>
      </c>
      <c r="C20" s="7" t="s">
        <v>21</v>
      </c>
      <c r="D20" s="5">
        <v>45206</v>
      </c>
      <c r="E20" s="7" t="s">
        <v>33</v>
      </c>
      <c r="F20" s="7" t="s">
        <v>13</v>
      </c>
      <c r="G20" s="6">
        <v>8485.59</v>
      </c>
      <c r="H20" s="6">
        <v>1</v>
      </c>
      <c r="I20" s="6">
        <v>-1138.8699999999999</v>
      </c>
      <c r="J20" s="7" t="str">
        <f t="shared" si="0"/>
        <v>loss</v>
      </c>
    </row>
    <row r="21" spans="1:10" x14ac:dyDescent="0.3">
      <c r="A21" s="4" t="s">
        <v>126</v>
      </c>
      <c r="B21" s="7" t="s">
        <v>10</v>
      </c>
      <c r="C21" s="7" t="s">
        <v>11</v>
      </c>
      <c r="D21" s="5">
        <v>45028</v>
      </c>
      <c r="E21" s="7" t="s">
        <v>31</v>
      </c>
      <c r="F21" s="7" t="s">
        <v>18</v>
      </c>
      <c r="G21" s="6">
        <v>32607.77</v>
      </c>
      <c r="H21" s="6">
        <v>5</v>
      </c>
      <c r="I21" s="6">
        <v>13975.3</v>
      </c>
      <c r="J21" s="7" t="str">
        <f t="shared" si="0"/>
        <v>Profit</v>
      </c>
    </row>
    <row r="22" spans="1:10" x14ac:dyDescent="0.3">
      <c r="A22" s="4" t="s">
        <v>14</v>
      </c>
      <c r="B22" s="7" t="s">
        <v>15</v>
      </c>
      <c r="C22" s="7" t="s">
        <v>16</v>
      </c>
      <c r="D22" s="5">
        <v>44980</v>
      </c>
      <c r="E22" s="7" t="s">
        <v>17</v>
      </c>
      <c r="F22" s="7" t="s">
        <v>18</v>
      </c>
      <c r="G22" s="6">
        <v>32935.35</v>
      </c>
      <c r="H22" s="6">
        <v>5</v>
      </c>
      <c r="I22" s="6">
        <v>3496.69</v>
      </c>
      <c r="J22" s="7" t="str">
        <f t="shared" si="0"/>
        <v>Profit</v>
      </c>
    </row>
    <row r="23" spans="1:10" x14ac:dyDescent="0.3">
      <c r="A23" s="4" t="s">
        <v>34</v>
      </c>
      <c r="B23" s="7" t="s">
        <v>15</v>
      </c>
      <c r="C23" s="7" t="s">
        <v>16</v>
      </c>
      <c r="D23" s="5">
        <v>45014</v>
      </c>
      <c r="E23" s="7" t="s">
        <v>33</v>
      </c>
      <c r="F23" s="7" t="s">
        <v>18</v>
      </c>
      <c r="G23" s="6">
        <v>28410.32</v>
      </c>
      <c r="H23" s="6">
        <v>3</v>
      </c>
      <c r="I23" s="6">
        <v>12619.5</v>
      </c>
      <c r="J23" s="7" t="str">
        <f t="shared" si="0"/>
        <v>Profit</v>
      </c>
    </row>
    <row r="24" spans="1:10" x14ac:dyDescent="0.3">
      <c r="A24" s="4" t="s">
        <v>56</v>
      </c>
      <c r="B24" s="7" t="s">
        <v>15</v>
      </c>
      <c r="C24" s="7" t="s">
        <v>21</v>
      </c>
      <c r="D24" s="5">
        <v>44955</v>
      </c>
      <c r="E24" s="7" t="s">
        <v>12</v>
      </c>
      <c r="F24" s="7" t="s">
        <v>18</v>
      </c>
      <c r="G24" s="6">
        <v>36398.28</v>
      </c>
      <c r="H24" s="6">
        <v>3</v>
      </c>
      <c r="I24" s="6">
        <v>-3671.99</v>
      </c>
      <c r="J24" s="7" t="str">
        <f t="shared" si="0"/>
        <v>loss</v>
      </c>
    </row>
    <row r="25" spans="1:10" x14ac:dyDescent="0.3">
      <c r="A25" s="4" t="s">
        <v>57</v>
      </c>
      <c r="B25" s="7" t="s">
        <v>15</v>
      </c>
      <c r="C25" s="7" t="s">
        <v>16</v>
      </c>
      <c r="D25" s="5">
        <v>45258</v>
      </c>
      <c r="E25" s="7" t="s">
        <v>17</v>
      </c>
      <c r="F25" s="7" t="s">
        <v>13</v>
      </c>
      <c r="G25" s="6">
        <v>34503.800000000003</v>
      </c>
      <c r="H25" s="6">
        <v>5</v>
      </c>
      <c r="I25" s="6">
        <v>2874.45</v>
      </c>
      <c r="J25" s="7" t="str">
        <f t="shared" si="0"/>
        <v>Profit</v>
      </c>
    </row>
    <row r="26" spans="1:10" x14ac:dyDescent="0.3">
      <c r="A26" s="4" t="s">
        <v>61</v>
      </c>
      <c r="B26" s="7" t="s">
        <v>15</v>
      </c>
      <c r="C26" s="7" t="s">
        <v>16</v>
      </c>
      <c r="D26" s="5">
        <v>45261</v>
      </c>
      <c r="E26" s="7" t="s">
        <v>33</v>
      </c>
      <c r="F26" s="7" t="s">
        <v>18</v>
      </c>
      <c r="G26" s="6">
        <v>23931.49</v>
      </c>
      <c r="H26" s="6">
        <v>5</v>
      </c>
      <c r="I26" s="6">
        <v>4863.54</v>
      </c>
      <c r="J26" s="7" t="str">
        <f t="shared" si="0"/>
        <v>Profit</v>
      </c>
    </row>
    <row r="27" spans="1:10" x14ac:dyDescent="0.3">
      <c r="A27" s="4" t="s">
        <v>79</v>
      </c>
      <c r="B27" s="7" t="s">
        <v>15</v>
      </c>
      <c r="C27" s="7" t="s">
        <v>11</v>
      </c>
      <c r="D27" s="5">
        <v>45256</v>
      </c>
      <c r="E27" s="7" t="s">
        <v>31</v>
      </c>
      <c r="F27" s="7" t="s">
        <v>18</v>
      </c>
      <c r="G27" s="6">
        <v>37148.74</v>
      </c>
      <c r="H27" s="6">
        <v>5</v>
      </c>
      <c r="I27" s="6">
        <v>3841.05</v>
      </c>
      <c r="J27" s="7" t="str">
        <f t="shared" si="0"/>
        <v>Profit</v>
      </c>
    </row>
    <row r="28" spans="1:10" x14ac:dyDescent="0.3">
      <c r="A28" s="4" t="s">
        <v>89</v>
      </c>
      <c r="B28" s="7" t="s">
        <v>15</v>
      </c>
      <c r="C28" s="7" t="s">
        <v>21</v>
      </c>
      <c r="D28" s="5">
        <v>45138</v>
      </c>
      <c r="E28" s="7" t="s">
        <v>33</v>
      </c>
      <c r="F28" s="7" t="s">
        <v>13</v>
      </c>
      <c r="G28" s="6">
        <v>43210.37</v>
      </c>
      <c r="H28" s="6">
        <v>5</v>
      </c>
      <c r="I28" s="6">
        <v>-4204.3599999999997</v>
      </c>
      <c r="J28" s="7" t="str">
        <f t="shared" si="0"/>
        <v>loss</v>
      </c>
    </row>
    <row r="29" spans="1:10" x14ac:dyDescent="0.3">
      <c r="A29" s="4" t="s">
        <v>93</v>
      </c>
      <c r="B29" s="7" t="s">
        <v>15</v>
      </c>
      <c r="C29" s="7" t="s">
        <v>27</v>
      </c>
      <c r="D29" s="5">
        <v>45148</v>
      </c>
      <c r="E29" s="7" t="s">
        <v>31</v>
      </c>
      <c r="F29" s="7" t="s">
        <v>18</v>
      </c>
      <c r="G29" s="6">
        <v>21055.360000000001</v>
      </c>
      <c r="H29" s="6">
        <v>2</v>
      </c>
      <c r="I29" s="6">
        <v>10788.47</v>
      </c>
      <c r="J29" s="7" t="str">
        <f t="shared" si="0"/>
        <v>Profit</v>
      </c>
    </row>
    <row r="30" spans="1:10" x14ac:dyDescent="0.3">
      <c r="A30" s="4" t="s">
        <v>108</v>
      </c>
      <c r="B30" s="7" t="s">
        <v>15</v>
      </c>
      <c r="C30" s="7" t="s">
        <v>27</v>
      </c>
      <c r="D30" s="5">
        <v>45153</v>
      </c>
      <c r="E30" s="7" t="s">
        <v>29</v>
      </c>
      <c r="F30" s="7" t="s">
        <v>18</v>
      </c>
      <c r="G30" s="6">
        <v>43710.31</v>
      </c>
      <c r="H30" s="6">
        <v>1</v>
      </c>
      <c r="I30" s="6">
        <v>9022.42</v>
      </c>
      <c r="J30" s="7" t="str">
        <f t="shared" si="0"/>
        <v>Profit</v>
      </c>
    </row>
    <row r="31" spans="1:10" x14ac:dyDescent="0.3">
      <c r="A31" s="4" t="s">
        <v>118</v>
      </c>
      <c r="B31" s="7" t="s">
        <v>15</v>
      </c>
      <c r="C31" s="7" t="s">
        <v>11</v>
      </c>
      <c r="D31" s="5">
        <v>45105</v>
      </c>
      <c r="E31" s="7" t="s">
        <v>12</v>
      </c>
      <c r="F31" s="7" t="s">
        <v>13</v>
      </c>
      <c r="G31" s="6">
        <v>4752.82</v>
      </c>
      <c r="H31" s="6">
        <v>3</v>
      </c>
      <c r="I31" s="6">
        <v>-2240.9899999999998</v>
      </c>
      <c r="J31" s="7" t="str">
        <f t="shared" si="0"/>
        <v>loss</v>
      </c>
    </row>
    <row r="32" spans="1:10" x14ac:dyDescent="0.3">
      <c r="A32" s="4" t="s">
        <v>123</v>
      </c>
      <c r="B32" s="7" t="s">
        <v>15</v>
      </c>
      <c r="C32" s="7" t="s">
        <v>21</v>
      </c>
      <c r="D32" s="5">
        <v>45173</v>
      </c>
      <c r="E32" s="7" t="s">
        <v>33</v>
      </c>
      <c r="F32" s="7" t="s">
        <v>18</v>
      </c>
      <c r="G32" s="6">
        <v>27891.39</v>
      </c>
      <c r="H32" s="6">
        <v>4</v>
      </c>
      <c r="I32" s="6">
        <v>13923.16</v>
      </c>
      <c r="J32" s="7" t="str">
        <f t="shared" si="0"/>
        <v>Profit</v>
      </c>
    </row>
    <row r="33" spans="1:10" x14ac:dyDescent="0.3">
      <c r="A33" s="4" t="s">
        <v>35</v>
      </c>
      <c r="B33" s="7" t="s">
        <v>36</v>
      </c>
      <c r="C33" s="7" t="s">
        <v>27</v>
      </c>
      <c r="D33" s="5">
        <v>44934</v>
      </c>
      <c r="E33" s="7" t="s">
        <v>31</v>
      </c>
      <c r="F33" s="7" t="s">
        <v>13</v>
      </c>
      <c r="G33" s="6">
        <v>35432.050000000003</v>
      </c>
      <c r="H33" s="6">
        <v>1</v>
      </c>
      <c r="I33" s="6">
        <v>5253.51</v>
      </c>
      <c r="J33" s="7" t="str">
        <f t="shared" si="0"/>
        <v>Profit</v>
      </c>
    </row>
    <row r="34" spans="1:10" x14ac:dyDescent="0.3">
      <c r="A34" s="4" t="s">
        <v>37</v>
      </c>
      <c r="B34" s="7" t="s">
        <v>36</v>
      </c>
      <c r="C34" s="7" t="s">
        <v>16</v>
      </c>
      <c r="D34" s="5">
        <v>44995</v>
      </c>
      <c r="E34" s="7" t="s">
        <v>12</v>
      </c>
      <c r="F34" s="7" t="s">
        <v>18</v>
      </c>
      <c r="G34" s="6">
        <v>38101.79</v>
      </c>
      <c r="H34" s="6">
        <v>2</v>
      </c>
      <c r="I34" s="6">
        <v>4491.3900000000003</v>
      </c>
      <c r="J34" s="7" t="str">
        <f t="shared" si="0"/>
        <v>Profit</v>
      </c>
    </row>
    <row r="35" spans="1:10" x14ac:dyDescent="0.3">
      <c r="A35" s="4" t="s">
        <v>58</v>
      </c>
      <c r="B35" s="7" t="s">
        <v>36</v>
      </c>
      <c r="C35" s="7" t="s">
        <v>27</v>
      </c>
      <c r="D35" s="5">
        <v>45189</v>
      </c>
      <c r="E35" s="7" t="s">
        <v>31</v>
      </c>
      <c r="F35" s="7" t="s">
        <v>13</v>
      </c>
      <c r="G35" s="6">
        <v>43140.78</v>
      </c>
      <c r="H35" s="6">
        <v>5</v>
      </c>
      <c r="I35" s="6">
        <v>-598.62</v>
      </c>
      <c r="J35" s="7" t="str">
        <f t="shared" si="0"/>
        <v>loss</v>
      </c>
    </row>
    <row r="36" spans="1:10" x14ac:dyDescent="0.3">
      <c r="A36" s="4" t="s">
        <v>59</v>
      </c>
      <c r="B36" s="7" t="s">
        <v>36</v>
      </c>
      <c r="C36" s="7" t="s">
        <v>27</v>
      </c>
      <c r="D36" s="5">
        <v>45195</v>
      </c>
      <c r="E36" s="7" t="s">
        <v>31</v>
      </c>
      <c r="F36" s="7" t="s">
        <v>13</v>
      </c>
      <c r="G36" s="6">
        <v>26574.57</v>
      </c>
      <c r="H36" s="6">
        <v>2</v>
      </c>
      <c r="I36" s="6">
        <v>14513.15</v>
      </c>
      <c r="J36" s="7" t="str">
        <f t="shared" si="0"/>
        <v>Profit</v>
      </c>
    </row>
    <row r="37" spans="1:10" x14ac:dyDescent="0.3">
      <c r="A37" s="4" t="s">
        <v>73</v>
      </c>
      <c r="B37" s="7" t="s">
        <v>36</v>
      </c>
      <c r="C37" s="7" t="s">
        <v>27</v>
      </c>
      <c r="D37" s="5">
        <v>45225</v>
      </c>
      <c r="E37" s="7" t="s">
        <v>17</v>
      </c>
      <c r="F37" s="7" t="s">
        <v>18</v>
      </c>
      <c r="G37" s="6">
        <v>46529.16</v>
      </c>
      <c r="H37" s="6">
        <v>1</v>
      </c>
      <c r="I37" s="6">
        <v>-1684.77</v>
      </c>
      <c r="J37" s="7" t="str">
        <f t="shared" si="0"/>
        <v>loss</v>
      </c>
    </row>
    <row r="38" spans="1:10" x14ac:dyDescent="0.3">
      <c r="A38" s="4" t="s">
        <v>76</v>
      </c>
      <c r="B38" s="7" t="s">
        <v>36</v>
      </c>
      <c r="C38" s="7" t="s">
        <v>27</v>
      </c>
      <c r="D38" s="5">
        <v>45194</v>
      </c>
      <c r="E38" s="7" t="s">
        <v>33</v>
      </c>
      <c r="F38" s="7" t="s">
        <v>18</v>
      </c>
      <c r="G38" s="6">
        <v>10443.450000000001</v>
      </c>
      <c r="H38" s="6">
        <v>1</v>
      </c>
      <c r="I38" s="6">
        <v>10050.33</v>
      </c>
      <c r="J38" s="7" t="str">
        <f t="shared" si="0"/>
        <v>Profit</v>
      </c>
    </row>
    <row r="39" spans="1:10" x14ac:dyDescent="0.3">
      <c r="A39" s="4" t="s">
        <v>81</v>
      </c>
      <c r="B39" s="7" t="s">
        <v>36</v>
      </c>
      <c r="C39" s="7" t="s">
        <v>27</v>
      </c>
      <c r="D39" s="5">
        <v>45166</v>
      </c>
      <c r="E39" s="7" t="s">
        <v>31</v>
      </c>
      <c r="F39" s="7" t="s">
        <v>18</v>
      </c>
      <c r="G39" s="6">
        <v>36041.82</v>
      </c>
      <c r="H39" s="6">
        <v>1</v>
      </c>
      <c r="I39" s="6">
        <v>13403.94</v>
      </c>
      <c r="J39" s="7" t="str">
        <f t="shared" si="0"/>
        <v>Profit</v>
      </c>
    </row>
    <row r="40" spans="1:10" x14ac:dyDescent="0.3">
      <c r="A40" s="4" t="s">
        <v>87</v>
      </c>
      <c r="B40" s="7" t="s">
        <v>36</v>
      </c>
      <c r="C40" s="7" t="s">
        <v>27</v>
      </c>
      <c r="D40" s="5">
        <v>45098</v>
      </c>
      <c r="E40" s="7" t="s">
        <v>33</v>
      </c>
      <c r="F40" s="7" t="s">
        <v>18</v>
      </c>
      <c r="G40" s="6">
        <v>26649.74</v>
      </c>
      <c r="H40" s="6">
        <v>2</v>
      </c>
      <c r="I40" s="6">
        <v>8660.14</v>
      </c>
      <c r="J40" s="7" t="str">
        <f t="shared" si="0"/>
        <v>Profit</v>
      </c>
    </row>
    <row r="41" spans="1:10" x14ac:dyDescent="0.3">
      <c r="A41" s="4" t="s">
        <v>88</v>
      </c>
      <c r="B41" s="7" t="s">
        <v>36</v>
      </c>
      <c r="C41" s="7" t="s">
        <v>21</v>
      </c>
      <c r="D41" s="5">
        <v>45246</v>
      </c>
      <c r="E41" s="7" t="s">
        <v>12</v>
      </c>
      <c r="F41" s="7" t="s">
        <v>18</v>
      </c>
      <c r="G41" s="6">
        <v>5426.29</v>
      </c>
      <c r="H41" s="6">
        <v>4</v>
      </c>
      <c r="I41" s="6">
        <v>-492.05</v>
      </c>
      <c r="J41" s="7" t="str">
        <f t="shared" si="0"/>
        <v>loss</v>
      </c>
    </row>
    <row r="42" spans="1:10" x14ac:dyDescent="0.3">
      <c r="A42" s="4" t="s">
        <v>103</v>
      </c>
      <c r="B42" s="7" t="s">
        <v>36</v>
      </c>
      <c r="C42" s="7" t="s">
        <v>39</v>
      </c>
      <c r="D42" s="5">
        <v>45193</v>
      </c>
      <c r="E42" s="7" t="s">
        <v>17</v>
      </c>
      <c r="F42" s="7" t="s">
        <v>18</v>
      </c>
      <c r="G42" s="6">
        <v>30161.02</v>
      </c>
      <c r="H42" s="6">
        <v>4</v>
      </c>
      <c r="I42" s="6">
        <v>10914.03</v>
      </c>
      <c r="J42" s="7" t="str">
        <f t="shared" si="0"/>
        <v>Profit</v>
      </c>
    </row>
    <row r="43" spans="1:10" x14ac:dyDescent="0.3">
      <c r="A43" s="4" t="s">
        <v>107</v>
      </c>
      <c r="B43" s="7" t="s">
        <v>36</v>
      </c>
      <c r="C43" s="7" t="s">
        <v>21</v>
      </c>
      <c r="D43" s="5">
        <v>44943</v>
      </c>
      <c r="E43" s="7" t="s">
        <v>31</v>
      </c>
      <c r="F43" s="7" t="s">
        <v>18</v>
      </c>
      <c r="G43" s="6">
        <v>17725.86</v>
      </c>
      <c r="H43" s="6">
        <v>1</v>
      </c>
      <c r="I43" s="6">
        <v>9885.76</v>
      </c>
      <c r="J43" s="7" t="str">
        <f t="shared" si="0"/>
        <v>Profit</v>
      </c>
    </row>
    <row r="44" spans="1:10" x14ac:dyDescent="0.3">
      <c r="A44" s="4" t="s">
        <v>111</v>
      </c>
      <c r="B44" s="7" t="s">
        <v>36</v>
      </c>
      <c r="C44" s="7" t="s">
        <v>21</v>
      </c>
      <c r="D44" s="5">
        <v>44949</v>
      </c>
      <c r="E44" s="7" t="s">
        <v>29</v>
      </c>
      <c r="F44" s="7" t="s">
        <v>18</v>
      </c>
      <c r="G44" s="6">
        <v>43663.62</v>
      </c>
      <c r="H44" s="6">
        <v>2</v>
      </c>
      <c r="I44" s="6">
        <v>2424.29</v>
      </c>
      <c r="J44" s="7" t="str">
        <f t="shared" si="0"/>
        <v>Profit</v>
      </c>
    </row>
    <row r="45" spans="1:10" x14ac:dyDescent="0.3">
      <c r="A45" s="4" t="s">
        <v>112</v>
      </c>
      <c r="B45" s="7" t="s">
        <v>36</v>
      </c>
      <c r="C45" s="7" t="s">
        <v>11</v>
      </c>
      <c r="D45" s="5">
        <v>45145</v>
      </c>
      <c r="E45" s="7" t="s">
        <v>31</v>
      </c>
      <c r="F45" s="7" t="s">
        <v>13</v>
      </c>
      <c r="G45" s="6">
        <v>38113.74</v>
      </c>
      <c r="H45" s="6">
        <v>2</v>
      </c>
      <c r="I45" s="6">
        <v>-980.23</v>
      </c>
      <c r="J45" s="7" t="str">
        <f t="shared" si="0"/>
        <v>loss</v>
      </c>
    </row>
    <row r="46" spans="1:10" x14ac:dyDescent="0.3">
      <c r="A46" s="4" t="s">
        <v>19</v>
      </c>
      <c r="B46" s="7" t="s">
        <v>20</v>
      </c>
      <c r="C46" s="7" t="s">
        <v>21</v>
      </c>
      <c r="D46" s="5">
        <v>45248</v>
      </c>
      <c r="E46" s="7" t="s">
        <v>12</v>
      </c>
      <c r="F46" s="7" t="s">
        <v>13</v>
      </c>
      <c r="G46" s="6">
        <v>33141.300000000003</v>
      </c>
      <c r="H46" s="6">
        <v>2</v>
      </c>
      <c r="I46" s="6">
        <v>141.78</v>
      </c>
      <c r="J46" s="7" t="str">
        <f t="shared" si="0"/>
        <v>Profit</v>
      </c>
    </row>
    <row r="47" spans="1:10" x14ac:dyDescent="0.3">
      <c r="A47" s="4" t="s">
        <v>30</v>
      </c>
      <c r="B47" s="7" t="s">
        <v>20</v>
      </c>
      <c r="C47" s="7" t="s">
        <v>11</v>
      </c>
      <c r="D47" s="5">
        <v>45096</v>
      </c>
      <c r="E47" s="7" t="s">
        <v>31</v>
      </c>
      <c r="F47" s="7" t="s">
        <v>18</v>
      </c>
      <c r="G47" s="6">
        <v>39231.08</v>
      </c>
      <c r="H47" s="6">
        <v>2</v>
      </c>
      <c r="I47" s="6">
        <v>288.77999999999997</v>
      </c>
      <c r="J47" s="7" t="str">
        <f t="shared" si="0"/>
        <v>Profit</v>
      </c>
    </row>
    <row r="48" spans="1:10" x14ac:dyDescent="0.3">
      <c r="A48" s="4" t="s">
        <v>44</v>
      </c>
      <c r="B48" s="7" t="s">
        <v>20</v>
      </c>
      <c r="C48" s="7" t="s">
        <v>16</v>
      </c>
      <c r="D48" s="5">
        <v>45096</v>
      </c>
      <c r="E48" s="7" t="s">
        <v>12</v>
      </c>
      <c r="F48" s="7" t="s">
        <v>18</v>
      </c>
      <c r="G48" s="6">
        <v>14791.63</v>
      </c>
      <c r="H48" s="6">
        <v>1</v>
      </c>
      <c r="I48" s="6">
        <v>8843.41</v>
      </c>
      <c r="J48" s="7" t="str">
        <f t="shared" si="0"/>
        <v>Profit</v>
      </c>
    </row>
    <row r="49" spans="1:10" x14ac:dyDescent="0.3">
      <c r="A49" s="4" t="s">
        <v>45</v>
      </c>
      <c r="B49" s="7" t="s">
        <v>20</v>
      </c>
      <c r="C49" s="7" t="s">
        <v>27</v>
      </c>
      <c r="D49" s="5">
        <v>45055</v>
      </c>
      <c r="E49" s="7" t="s">
        <v>31</v>
      </c>
      <c r="F49" s="7" t="s">
        <v>18</v>
      </c>
      <c r="G49" s="6">
        <v>39757.56</v>
      </c>
      <c r="H49" s="6">
        <v>4</v>
      </c>
      <c r="I49" s="6">
        <v>2719.16</v>
      </c>
      <c r="J49" s="7" t="str">
        <f t="shared" si="0"/>
        <v>Profit</v>
      </c>
    </row>
    <row r="50" spans="1:10" x14ac:dyDescent="0.3">
      <c r="A50" s="4" t="s">
        <v>46</v>
      </c>
      <c r="B50" s="7" t="s">
        <v>20</v>
      </c>
      <c r="C50" s="7" t="s">
        <v>11</v>
      </c>
      <c r="D50" s="5">
        <v>44945</v>
      </c>
      <c r="E50" s="7" t="s">
        <v>33</v>
      </c>
      <c r="F50" s="7" t="s">
        <v>18</v>
      </c>
      <c r="G50" s="6">
        <v>10737.16</v>
      </c>
      <c r="H50" s="6">
        <v>1</v>
      </c>
      <c r="I50" s="6">
        <v>-4088.12</v>
      </c>
      <c r="J50" s="7" t="str">
        <f t="shared" si="0"/>
        <v>loss</v>
      </c>
    </row>
    <row r="51" spans="1:10" x14ac:dyDescent="0.3">
      <c r="A51" s="4" t="s">
        <v>47</v>
      </c>
      <c r="B51" s="7" t="s">
        <v>20</v>
      </c>
      <c r="C51" s="7" t="s">
        <v>39</v>
      </c>
      <c r="D51" s="5">
        <v>44942</v>
      </c>
      <c r="E51" s="7" t="s">
        <v>17</v>
      </c>
      <c r="F51" s="7" t="s">
        <v>13</v>
      </c>
      <c r="G51" s="6">
        <v>47223.1</v>
      </c>
      <c r="H51" s="6">
        <v>5</v>
      </c>
      <c r="I51" s="6">
        <v>14838.68</v>
      </c>
      <c r="J51" s="7" t="str">
        <f t="shared" si="0"/>
        <v>Profit</v>
      </c>
    </row>
    <row r="52" spans="1:10" x14ac:dyDescent="0.3">
      <c r="A52" s="4" t="s">
        <v>51</v>
      </c>
      <c r="B52" s="7" t="s">
        <v>20</v>
      </c>
      <c r="C52" s="7" t="s">
        <v>27</v>
      </c>
      <c r="D52" s="5">
        <v>45279</v>
      </c>
      <c r="E52" s="7" t="s">
        <v>33</v>
      </c>
      <c r="F52" s="7" t="s">
        <v>18</v>
      </c>
      <c r="G52" s="6">
        <v>39576.89</v>
      </c>
      <c r="H52" s="6">
        <v>4</v>
      </c>
      <c r="I52" s="6">
        <v>671.99</v>
      </c>
      <c r="J52" s="7" t="str">
        <f t="shared" si="0"/>
        <v>Profit</v>
      </c>
    </row>
    <row r="53" spans="1:10" x14ac:dyDescent="0.3">
      <c r="A53" s="4" t="s">
        <v>55</v>
      </c>
      <c r="B53" s="7" t="s">
        <v>20</v>
      </c>
      <c r="C53" s="7" t="s">
        <v>27</v>
      </c>
      <c r="D53" s="5">
        <v>45286</v>
      </c>
      <c r="E53" s="7" t="s">
        <v>31</v>
      </c>
      <c r="F53" s="7" t="s">
        <v>13</v>
      </c>
      <c r="G53" s="6">
        <v>16093.96</v>
      </c>
      <c r="H53" s="6">
        <v>5</v>
      </c>
      <c r="I53" s="6">
        <v>-964.78</v>
      </c>
      <c r="J53" s="7" t="str">
        <f t="shared" si="0"/>
        <v>loss</v>
      </c>
    </row>
    <row r="54" spans="1:10" x14ac:dyDescent="0.3">
      <c r="A54" s="4" t="s">
        <v>60</v>
      </c>
      <c r="B54" s="7" t="s">
        <v>20</v>
      </c>
      <c r="C54" s="7" t="s">
        <v>11</v>
      </c>
      <c r="D54" s="5">
        <v>45259</v>
      </c>
      <c r="E54" s="7" t="s">
        <v>33</v>
      </c>
      <c r="F54" s="7" t="s">
        <v>13</v>
      </c>
      <c r="G54" s="6">
        <v>40876.85</v>
      </c>
      <c r="H54" s="6">
        <v>2</v>
      </c>
      <c r="I54" s="6">
        <v>663.53</v>
      </c>
      <c r="J54" s="7" t="str">
        <f t="shared" si="0"/>
        <v>Profit</v>
      </c>
    </row>
    <row r="55" spans="1:10" x14ac:dyDescent="0.3">
      <c r="A55" s="4" t="s">
        <v>62</v>
      </c>
      <c r="B55" s="7" t="s">
        <v>20</v>
      </c>
      <c r="C55" s="7" t="s">
        <v>27</v>
      </c>
      <c r="D55" s="5">
        <v>44970</v>
      </c>
      <c r="E55" s="7" t="s">
        <v>29</v>
      </c>
      <c r="F55" s="7" t="s">
        <v>13</v>
      </c>
      <c r="G55" s="6">
        <v>48219.03</v>
      </c>
      <c r="H55" s="6">
        <v>4</v>
      </c>
      <c r="I55" s="6">
        <v>7607.86</v>
      </c>
      <c r="J55" s="7" t="str">
        <f t="shared" si="0"/>
        <v>Profit</v>
      </c>
    </row>
    <row r="56" spans="1:10" x14ac:dyDescent="0.3">
      <c r="A56" s="4" t="s">
        <v>65</v>
      </c>
      <c r="B56" s="7" t="s">
        <v>20</v>
      </c>
      <c r="C56" s="7" t="s">
        <v>27</v>
      </c>
      <c r="D56" s="5">
        <v>45133</v>
      </c>
      <c r="E56" s="7" t="s">
        <v>17</v>
      </c>
      <c r="F56" s="7" t="s">
        <v>13</v>
      </c>
      <c r="G56" s="6">
        <v>5091.95</v>
      </c>
      <c r="H56" s="6">
        <v>1</v>
      </c>
      <c r="I56" s="6">
        <v>-1812.15</v>
      </c>
      <c r="J56" s="7" t="str">
        <f t="shared" si="0"/>
        <v>loss</v>
      </c>
    </row>
    <row r="57" spans="1:10" x14ac:dyDescent="0.3">
      <c r="A57" s="4" t="s">
        <v>70</v>
      </c>
      <c r="B57" s="7" t="s">
        <v>20</v>
      </c>
      <c r="C57" s="7" t="s">
        <v>39</v>
      </c>
      <c r="D57" s="5">
        <v>44978</v>
      </c>
      <c r="E57" s="7" t="s">
        <v>17</v>
      </c>
      <c r="F57" s="7" t="s">
        <v>13</v>
      </c>
      <c r="G57" s="6">
        <v>13517.77</v>
      </c>
      <c r="H57" s="6">
        <v>3</v>
      </c>
      <c r="I57" s="6">
        <v>-4455.57</v>
      </c>
      <c r="J57" s="7" t="str">
        <f t="shared" si="0"/>
        <v>loss</v>
      </c>
    </row>
    <row r="58" spans="1:10" x14ac:dyDescent="0.3">
      <c r="A58" s="4" t="s">
        <v>74</v>
      </c>
      <c r="B58" s="7" t="s">
        <v>20</v>
      </c>
      <c r="C58" s="7" t="s">
        <v>16</v>
      </c>
      <c r="D58" s="5">
        <v>45155</v>
      </c>
      <c r="E58" s="7" t="s">
        <v>33</v>
      </c>
      <c r="F58" s="7" t="s">
        <v>18</v>
      </c>
      <c r="G58" s="6">
        <v>7002.69</v>
      </c>
      <c r="H58" s="6">
        <v>5</v>
      </c>
      <c r="I58" s="6">
        <v>5004.8500000000004</v>
      </c>
      <c r="J58" s="7" t="str">
        <f t="shared" si="0"/>
        <v>Profit</v>
      </c>
    </row>
    <row r="59" spans="1:10" x14ac:dyDescent="0.3">
      <c r="A59" s="4" t="s">
        <v>84</v>
      </c>
      <c r="B59" s="7" t="s">
        <v>20</v>
      </c>
      <c r="C59" s="7" t="s">
        <v>27</v>
      </c>
      <c r="D59" s="5">
        <v>45119</v>
      </c>
      <c r="E59" s="7" t="s">
        <v>17</v>
      </c>
      <c r="F59" s="7" t="s">
        <v>18</v>
      </c>
      <c r="G59" s="6">
        <v>16617.55</v>
      </c>
      <c r="H59" s="6">
        <v>1</v>
      </c>
      <c r="I59" s="6">
        <v>-773.53</v>
      </c>
      <c r="J59" s="7" t="str">
        <f t="shared" si="0"/>
        <v>loss</v>
      </c>
    </row>
    <row r="60" spans="1:10" x14ac:dyDescent="0.3">
      <c r="A60" s="4" t="s">
        <v>86</v>
      </c>
      <c r="B60" s="7" t="s">
        <v>20</v>
      </c>
      <c r="C60" s="7" t="s">
        <v>11</v>
      </c>
      <c r="D60" s="5">
        <v>45133</v>
      </c>
      <c r="E60" s="7" t="s">
        <v>29</v>
      </c>
      <c r="F60" s="7" t="s">
        <v>13</v>
      </c>
      <c r="G60" s="6">
        <v>3651.67</v>
      </c>
      <c r="H60" s="6">
        <v>1</v>
      </c>
      <c r="I60" s="6">
        <v>5755.69</v>
      </c>
      <c r="J60" s="7" t="str">
        <f t="shared" si="0"/>
        <v>Profit</v>
      </c>
    </row>
    <row r="61" spans="1:10" x14ac:dyDescent="0.3">
      <c r="A61" s="4" t="s">
        <v>102</v>
      </c>
      <c r="B61" s="7" t="s">
        <v>20</v>
      </c>
      <c r="C61" s="7" t="s">
        <v>21</v>
      </c>
      <c r="D61" s="5">
        <v>45239</v>
      </c>
      <c r="E61" s="7" t="s">
        <v>29</v>
      </c>
      <c r="F61" s="7" t="s">
        <v>13</v>
      </c>
      <c r="G61" s="6">
        <v>30642.82</v>
      </c>
      <c r="H61" s="6">
        <v>2</v>
      </c>
      <c r="I61" s="6">
        <v>5259.6</v>
      </c>
      <c r="J61" s="7" t="str">
        <f t="shared" si="0"/>
        <v>Profit</v>
      </c>
    </row>
    <row r="62" spans="1:10" x14ac:dyDescent="0.3">
      <c r="A62" s="4" t="s">
        <v>109</v>
      </c>
      <c r="B62" s="7" t="s">
        <v>20</v>
      </c>
      <c r="C62" s="7" t="s">
        <v>39</v>
      </c>
      <c r="D62" s="5">
        <v>45228</v>
      </c>
      <c r="E62" s="7" t="s">
        <v>33</v>
      </c>
      <c r="F62" s="7" t="s">
        <v>18</v>
      </c>
      <c r="G62" s="6">
        <v>32084.58</v>
      </c>
      <c r="H62" s="6">
        <v>1</v>
      </c>
      <c r="I62" s="6">
        <v>13187.62</v>
      </c>
      <c r="J62" s="7" t="str">
        <f t="shared" si="0"/>
        <v>Profit</v>
      </c>
    </row>
    <row r="63" spans="1:10" x14ac:dyDescent="0.3">
      <c r="A63" s="4" t="s">
        <v>22</v>
      </c>
      <c r="B63" s="7" t="s">
        <v>23</v>
      </c>
      <c r="C63" s="7" t="s">
        <v>21</v>
      </c>
      <c r="D63" s="5">
        <v>45113</v>
      </c>
      <c r="E63" s="7" t="s">
        <v>17</v>
      </c>
      <c r="F63" s="7" t="s">
        <v>18</v>
      </c>
      <c r="G63" s="6">
        <v>20872.66</v>
      </c>
      <c r="H63" s="6">
        <v>2</v>
      </c>
      <c r="I63" s="6">
        <v>3690.96</v>
      </c>
      <c r="J63" s="7" t="str">
        <f t="shared" si="0"/>
        <v>Profit</v>
      </c>
    </row>
    <row r="64" spans="1:10" x14ac:dyDescent="0.3">
      <c r="A64" s="4" t="s">
        <v>32</v>
      </c>
      <c r="B64" s="7" t="s">
        <v>23</v>
      </c>
      <c r="C64" s="7" t="s">
        <v>11</v>
      </c>
      <c r="D64" s="5">
        <v>45030</v>
      </c>
      <c r="E64" s="7" t="s">
        <v>33</v>
      </c>
      <c r="F64" s="7" t="s">
        <v>13</v>
      </c>
      <c r="G64" s="6">
        <v>38445.49</v>
      </c>
      <c r="H64" s="6">
        <v>1</v>
      </c>
      <c r="I64" s="6">
        <v>8761.73</v>
      </c>
      <c r="J64" s="7" t="str">
        <f t="shared" si="0"/>
        <v>Profit</v>
      </c>
    </row>
    <row r="65" spans="1:10" x14ac:dyDescent="0.3">
      <c r="A65" s="4" t="s">
        <v>38</v>
      </c>
      <c r="B65" s="7" t="s">
        <v>23</v>
      </c>
      <c r="C65" s="7" t="s">
        <v>39</v>
      </c>
      <c r="D65" s="5">
        <v>44932</v>
      </c>
      <c r="E65" s="7" t="s">
        <v>12</v>
      </c>
      <c r="F65" s="7" t="s">
        <v>18</v>
      </c>
      <c r="G65" s="6">
        <v>19590.55</v>
      </c>
      <c r="H65" s="6">
        <v>4</v>
      </c>
      <c r="I65" s="6">
        <v>507.78</v>
      </c>
      <c r="J65" s="7" t="str">
        <f t="shared" si="0"/>
        <v>Profit</v>
      </c>
    </row>
    <row r="66" spans="1:10" x14ac:dyDescent="0.3">
      <c r="A66" s="4" t="s">
        <v>48</v>
      </c>
      <c r="B66" s="7" t="s">
        <v>23</v>
      </c>
      <c r="C66" s="7" t="s">
        <v>16</v>
      </c>
      <c r="D66" s="5">
        <v>44956</v>
      </c>
      <c r="E66" s="7" t="s">
        <v>33</v>
      </c>
      <c r="F66" s="7" t="s">
        <v>18</v>
      </c>
      <c r="G66" s="6">
        <v>44815.64</v>
      </c>
      <c r="H66" s="6">
        <v>4</v>
      </c>
      <c r="I66" s="6">
        <v>-3796.16</v>
      </c>
      <c r="J66" s="7" t="str">
        <f t="shared" si="0"/>
        <v>loss</v>
      </c>
    </row>
    <row r="67" spans="1:10" x14ac:dyDescent="0.3">
      <c r="A67" s="4" t="s">
        <v>53</v>
      </c>
      <c r="B67" s="7" t="s">
        <v>23</v>
      </c>
      <c r="C67" s="7" t="s">
        <v>39</v>
      </c>
      <c r="D67" s="5">
        <v>44964</v>
      </c>
      <c r="E67" s="7" t="s">
        <v>33</v>
      </c>
      <c r="F67" s="7" t="s">
        <v>18</v>
      </c>
      <c r="G67" s="6">
        <v>16702.009999999998</v>
      </c>
      <c r="H67" s="6">
        <v>1</v>
      </c>
      <c r="I67" s="6">
        <v>-998.51</v>
      </c>
      <c r="J67" s="7" t="str">
        <f t="shared" ref="J67:J101" si="1">IF(I67&gt;=0, "Profit","loss")</f>
        <v>loss</v>
      </c>
    </row>
    <row r="68" spans="1:10" x14ac:dyDescent="0.3">
      <c r="A68" s="4" t="s">
        <v>64</v>
      </c>
      <c r="B68" s="7" t="s">
        <v>23</v>
      </c>
      <c r="C68" s="7" t="s">
        <v>11</v>
      </c>
      <c r="D68" s="5">
        <v>45141</v>
      </c>
      <c r="E68" s="7" t="s">
        <v>12</v>
      </c>
      <c r="F68" s="7" t="s">
        <v>18</v>
      </c>
      <c r="G68" s="6">
        <v>8787.41</v>
      </c>
      <c r="H68" s="6">
        <v>4</v>
      </c>
      <c r="I68" s="6">
        <v>6260.33</v>
      </c>
      <c r="J68" s="7" t="str">
        <f t="shared" si="1"/>
        <v>Profit</v>
      </c>
    </row>
    <row r="69" spans="1:10" x14ac:dyDescent="0.3">
      <c r="A69" s="4" t="s">
        <v>68</v>
      </c>
      <c r="B69" s="7" t="s">
        <v>23</v>
      </c>
      <c r="C69" s="7" t="s">
        <v>11</v>
      </c>
      <c r="D69" s="5">
        <v>45171</v>
      </c>
      <c r="E69" s="7" t="s">
        <v>17</v>
      </c>
      <c r="F69" s="7" t="s">
        <v>18</v>
      </c>
      <c r="G69" s="6">
        <v>34931.25</v>
      </c>
      <c r="H69" s="6">
        <v>5</v>
      </c>
      <c r="I69" s="6">
        <v>4206.03</v>
      </c>
      <c r="J69" s="7" t="str">
        <f t="shared" si="1"/>
        <v>Profit</v>
      </c>
    </row>
    <row r="70" spans="1:10" x14ac:dyDescent="0.3">
      <c r="A70" s="4" t="s">
        <v>75</v>
      </c>
      <c r="B70" s="7" t="s">
        <v>23</v>
      </c>
      <c r="C70" s="7" t="s">
        <v>16</v>
      </c>
      <c r="D70" s="5">
        <v>45108</v>
      </c>
      <c r="E70" s="7" t="s">
        <v>31</v>
      </c>
      <c r="F70" s="7" t="s">
        <v>13</v>
      </c>
      <c r="G70" s="6">
        <v>20071.740000000002</v>
      </c>
      <c r="H70" s="6">
        <v>2</v>
      </c>
      <c r="I70" s="6">
        <v>7877.48</v>
      </c>
      <c r="J70" s="7" t="str">
        <f t="shared" si="1"/>
        <v>Profit</v>
      </c>
    </row>
    <row r="71" spans="1:10" x14ac:dyDescent="0.3">
      <c r="A71" s="4" t="s">
        <v>80</v>
      </c>
      <c r="B71" s="7" t="s">
        <v>23</v>
      </c>
      <c r="C71" s="7" t="s">
        <v>39</v>
      </c>
      <c r="D71" s="5">
        <v>45079</v>
      </c>
      <c r="E71" s="7" t="s">
        <v>33</v>
      </c>
      <c r="F71" s="7" t="s">
        <v>18</v>
      </c>
      <c r="G71" s="6">
        <v>37600.86</v>
      </c>
      <c r="H71" s="6">
        <v>1</v>
      </c>
      <c r="I71" s="6">
        <v>7730.97</v>
      </c>
      <c r="J71" s="7" t="str">
        <f t="shared" si="1"/>
        <v>Profit</v>
      </c>
    </row>
    <row r="72" spans="1:10" x14ac:dyDescent="0.3">
      <c r="A72" s="4" t="s">
        <v>96</v>
      </c>
      <c r="B72" s="7" t="s">
        <v>23</v>
      </c>
      <c r="C72" s="7" t="s">
        <v>21</v>
      </c>
      <c r="D72" s="5">
        <v>45088</v>
      </c>
      <c r="E72" s="7" t="s">
        <v>33</v>
      </c>
      <c r="F72" s="7" t="s">
        <v>13</v>
      </c>
      <c r="G72" s="6">
        <v>32724.35</v>
      </c>
      <c r="H72" s="6">
        <v>3</v>
      </c>
      <c r="I72" s="6">
        <v>6462.06</v>
      </c>
      <c r="J72" s="7" t="str">
        <f t="shared" si="1"/>
        <v>Profit</v>
      </c>
    </row>
    <row r="73" spans="1:10" x14ac:dyDescent="0.3">
      <c r="A73" s="4" t="s">
        <v>97</v>
      </c>
      <c r="B73" s="7" t="s">
        <v>23</v>
      </c>
      <c r="C73" s="7" t="s">
        <v>16</v>
      </c>
      <c r="D73" s="5">
        <v>45063</v>
      </c>
      <c r="E73" s="7" t="s">
        <v>29</v>
      </c>
      <c r="F73" s="7" t="s">
        <v>18</v>
      </c>
      <c r="G73" s="6">
        <v>1291.98</v>
      </c>
      <c r="H73" s="6">
        <v>2</v>
      </c>
      <c r="I73" s="6">
        <v>-4282.45</v>
      </c>
      <c r="J73" s="7" t="str">
        <f t="shared" si="1"/>
        <v>loss</v>
      </c>
    </row>
    <row r="74" spans="1:10" x14ac:dyDescent="0.3">
      <c r="A74" s="4" t="s">
        <v>98</v>
      </c>
      <c r="B74" s="7" t="s">
        <v>23</v>
      </c>
      <c r="C74" s="7" t="s">
        <v>16</v>
      </c>
      <c r="D74" s="5">
        <v>44940</v>
      </c>
      <c r="E74" s="7" t="s">
        <v>17</v>
      </c>
      <c r="F74" s="7" t="s">
        <v>13</v>
      </c>
      <c r="G74" s="6">
        <v>24204.21</v>
      </c>
      <c r="H74" s="6">
        <v>5</v>
      </c>
      <c r="I74" s="6">
        <v>-315.37</v>
      </c>
      <c r="J74" s="7" t="str">
        <f t="shared" si="1"/>
        <v>loss</v>
      </c>
    </row>
    <row r="75" spans="1:10" x14ac:dyDescent="0.3">
      <c r="A75" s="4" t="s">
        <v>101</v>
      </c>
      <c r="B75" s="7" t="s">
        <v>23</v>
      </c>
      <c r="C75" s="7" t="s">
        <v>21</v>
      </c>
      <c r="D75" s="5">
        <v>44953</v>
      </c>
      <c r="E75" s="7" t="s">
        <v>17</v>
      </c>
      <c r="F75" s="7" t="s">
        <v>13</v>
      </c>
      <c r="G75" s="6">
        <v>45883.43</v>
      </c>
      <c r="H75" s="6">
        <v>3</v>
      </c>
      <c r="I75" s="6">
        <v>12086.86</v>
      </c>
      <c r="J75" s="7" t="str">
        <f t="shared" si="1"/>
        <v>Profit</v>
      </c>
    </row>
    <row r="76" spans="1:10" x14ac:dyDescent="0.3">
      <c r="A76" s="4" t="s">
        <v>106</v>
      </c>
      <c r="B76" s="7" t="s">
        <v>23</v>
      </c>
      <c r="C76" s="7" t="s">
        <v>11</v>
      </c>
      <c r="D76" s="5">
        <v>44984</v>
      </c>
      <c r="E76" s="7" t="s">
        <v>33</v>
      </c>
      <c r="F76" s="7" t="s">
        <v>18</v>
      </c>
      <c r="G76" s="6">
        <v>43947.1</v>
      </c>
      <c r="H76" s="6">
        <v>4</v>
      </c>
      <c r="I76" s="6">
        <v>54.15</v>
      </c>
      <c r="J76" s="7" t="str">
        <f t="shared" si="1"/>
        <v>Profit</v>
      </c>
    </row>
    <row r="77" spans="1:10" x14ac:dyDescent="0.3">
      <c r="A77" s="4" t="s">
        <v>110</v>
      </c>
      <c r="B77" s="7" t="s">
        <v>23</v>
      </c>
      <c r="C77" s="7" t="s">
        <v>16</v>
      </c>
      <c r="D77" s="5">
        <v>45018</v>
      </c>
      <c r="E77" s="7" t="s">
        <v>17</v>
      </c>
      <c r="F77" s="7" t="s">
        <v>13</v>
      </c>
      <c r="G77" s="6">
        <v>44765.02</v>
      </c>
      <c r="H77" s="6">
        <v>3</v>
      </c>
      <c r="I77" s="6">
        <v>-3737.42</v>
      </c>
      <c r="J77" s="7" t="str">
        <f t="shared" si="1"/>
        <v>loss</v>
      </c>
    </row>
    <row r="78" spans="1:10" x14ac:dyDescent="0.3">
      <c r="A78" s="4" t="s">
        <v>116</v>
      </c>
      <c r="B78" s="7" t="s">
        <v>23</v>
      </c>
      <c r="C78" s="7" t="s">
        <v>11</v>
      </c>
      <c r="D78" s="5">
        <v>45253</v>
      </c>
      <c r="E78" s="7" t="s">
        <v>31</v>
      </c>
      <c r="F78" s="7" t="s">
        <v>18</v>
      </c>
      <c r="G78" s="6">
        <v>16705.29</v>
      </c>
      <c r="H78" s="6">
        <v>1</v>
      </c>
      <c r="I78" s="6">
        <v>-4339.54</v>
      </c>
      <c r="J78" s="7" t="str">
        <f t="shared" si="1"/>
        <v>loss</v>
      </c>
    </row>
    <row r="79" spans="1:10" x14ac:dyDescent="0.3">
      <c r="A79" s="4" t="s">
        <v>120</v>
      </c>
      <c r="B79" s="7" t="s">
        <v>23</v>
      </c>
      <c r="C79" s="7" t="s">
        <v>39</v>
      </c>
      <c r="D79" s="5">
        <v>45280</v>
      </c>
      <c r="E79" s="7" t="s">
        <v>17</v>
      </c>
      <c r="F79" s="7" t="s">
        <v>18</v>
      </c>
      <c r="G79" s="6">
        <v>49476.49</v>
      </c>
      <c r="H79" s="6">
        <v>5</v>
      </c>
      <c r="I79" s="6">
        <v>9597.2900000000009</v>
      </c>
      <c r="J79" s="7" t="str">
        <f t="shared" si="1"/>
        <v>Profit</v>
      </c>
    </row>
    <row r="80" spans="1:10" x14ac:dyDescent="0.3">
      <c r="A80" s="4" t="s">
        <v>124</v>
      </c>
      <c r="B80" s="7" t="s">
        <v>23</v>
      </c>
      <c r="C80" s="7" t="s">
        <v>11</v>
      </c>
      <c r="D80" s="5">
        <v>45244</v>
      </c>
      <c r="E80" s="7" t="s">
        <v>17</v>
      </c>
      <c r="F80" s="7" t="s">
        <v>18</v>
      </c>
      <c r="G80" s="6">
        <v>6150.04</v>
      </c>
      <c r="H80" s="6">
        <v>2</v>
      </c>
      <c r="I80" s="6">
        <v>-4329.6400000000003</v>
      </c>
      <c r="J80" s="7" t="str">
        <f t="shared" si="1"/>
        <v>loss</v>
      </c>
    </row>
    <row r="81" spans="1:10" x14ac:dyDescent="0.3">
      <c r="A81" s="4" t="s">
        <v>24</v>
      </c>
      <c r="B81" s="7" t="s">
        <v>25</v>
      </c>
      <c r="C81" s="7" t="s">
        <v>21</v>
      </c>
      <c r="D81" s="5">
        <v>45035</v>
      </c>
      <c r="E81" s="7" t="s">
        <v>17</v>
      </c>
      <c r="F81" s="7" t="s">
        <v>13</v>
      </c>
      <c r="G81" s="6">
        <v>11954.08</v>
      </c>
      <c r="H81" s="6">
        <v>2</v>
      </c>
      <c r="I81" s="6">
        <v>-4142.6000000000004</v>
      </c>
      <c r="J81" s="7" t="str">
        <f t="shared" si="1"/>
        <v>loss</v>
      </c>
    </row>
    <row r="82" spans="1:10" x14ac:dyDescent="0.3">
      <c r="A82" s="4" t="s">
        <v>26</v>
      </c>
      <c r="B82" s="7" t="s">
        <v>25</v>
      </c>
      <c r="C82" s="7" t="s">
        <v>27</v>
      </c>
      <c r="D82" s="5">
        <v>45251</v>
      </c>
      <c r="E82" s="7" t="s">
        <v>17</v>
      </c>
      <c r="F82" s="7" t="s">
        <v>18</v>
      </c>
      <c r="G82" s="6">
        <v>25145.61</v>
      </c>
      <c r="H82" s="6">
        <v>3</v>
      </c>
      <c r="I82" s="6">
        <v>13285.73</v>
      </c>
      <c r="J82" s="7" t="str">
        <f t="shared" si="1"/>
        <v>Profit</v>
      </c>
    </row>
    <row r="83" spans="1:10" x14ac:dyDescent="0.3">
      <c r="A83" s="4" t="s">
        <v>49</v>
      </c>
      <c r="B83" s="7" t="s">
        <v>25</v>
      </c>
      <c r="C83" s="7" t="s">
        <v>16</v>
      </c>
      <c r="D83" s="5">
        <v>45047</v>
      </c>
      <c r="E83" s="7" t="s">
        <v>12</v>
      </c>
      <c r="F83" s="7" t="s">
        <v>13</v>
      </c>
      <c r="G83" s="6">
        <v>1880.72</v>
      </c>
      <c r="H83" s="6">
        <v>4</v>
      </c>
      <c r="I83" s="6">
        <v>-1657.73</v>
      </c>
      <c r="J83" s="7" t="str">
        <f t="shared" si="1"/>
        <v>loss</v>
      </c>
    </row>
    <row r="84" spans="1:10" x14ac:dyDescent="0.3">
      <c r="A84" s="4" t="s">
        <v>50</v>
      </c>
      <c r="B84" s="7" t="s">
        <v>25</v>
      </c>
      <c r="C84" s="7" t="s">
        <v>11</v>
      </c>
      <c r="D84" s="5">
        <v>45113</v>
      </c>
      <c r="E84" s="7" t="s">
        <v>29</v>
      </c>
      <c r="F84" s="7" t="s">
        <v>18</v>
      </c>
      <c r="G84" s="6">
        <v>14410.44</v>
      </c>
      <c r="H84" s="6">
        <v>2</v>
      </c>
      <c r="I84" s="6">
        <v>8374.7199999999993</v>
      </c>
      <c r="J84" s="7" t="str">
        <f t="shared" si="1"/>
        <v>Profit</v>
      </c>
    </row>
    <row r="85" spans="1:10" x14ac:dyDescent="0.3">
      <c r="A85" s="4" t="s">
        <v>52</v>
      </c>
      <c r="B85" s="7" t="s">
        <v>25</v>
      </c>
      <c r="C85" s="7" t="s">
        <v>39</v>
      </c>
      <c r="D85" s="5">
        <v>45102</v>
      </c>
      <c r="E85" s="7" t="s">
        <v>29</v>
      </c>
      <c r="F85" s="7" t="s">
        <v>18</v>
      </c>
      <c r="G85" s="6">
        <v>9479.0499999999993</v>
      </c>
      <c r="H85" s="6">
        <v>1</v>
      </c>
      <c r="I85" s="6">
        <v>1252.26</v>
      </c>
      <c r="J85" s="7" t="str">
        <f t="shared" si="1"/>
        <v>Profit</v>
      </c>
    </row>
    <row r="86" spans="1:10" x14ac:dyDescent="0.3">
      <c r="A86" s="4" t="s">
        <v>63</v>
      </c>
      <c r="B86" s="7" t="s">
        <v>25</v>
      </c>
      <c r="C86" s="7" t="s">
        <v>21</v>
      </c>
      <c r="D86" s="5">
        <v>44950</v>
      </c>
      <c r="E86" s="7" t="s">
        <v>12</v>
      </c>
      <c r="F86" s="7" t="s">
        <v>18</v>
      </c>
      <c r="G86" s="6">
        <v>41028.720000000001</v>
      </c>
      <c r="H86" s="6">
        <v>5</v>
      </c>
      <c r="I86" s="6">
        <v>14737.67</v>
      </c>
      <c r="J86" s="7" t="str">
        <f t="shared" si="1"/>
        <v>Profit</v>
      </c>
    </row>
    <row r="87" spans="1:10" x14ac:dyDescent="0.3">
      <c r="A87" s="4" t="s">
        <v>66</v>
      </c>
      <c r="B87" s="7" t="s">
        <v>25</v>
      </c>
      <c r="C87" s="7" t="s">
        <v>11</v>
      </c>
      <c r="D87" s="5">
        <v>45018</v>
      </c>
      <c r="E87" s="7" t="s">
        <v>17</v>
      </c>
      <c r="F87" s="7" t="s">
        <v>18</v>
      </c>
      <c r="G87" s="6">
        <v>8411.6200000000008</v>
      </c>
      <c r="H87" s="6">
        <v>1</v>
      </c>
      <c r="I87" s="6">
        <v>13771.52</v>
      </c>
      <c r="J87" s="7" t="str">
        <f t="shared" si="1"/>
        <v>Profit</v>
      </c>
    </row>
    <row r="88" spans="1:10" x14ac:dyDescent="0.3">
      <c r="A88" s="4" t="s">
        <v>67</v>
      </c>
      <c r="B88" s="7" t="s">
        <v>25</v>
      </c>
      <c r="C88" s="7" t="s">
        <v>16</v>
      </c>
      <c r="D88" s="5">
        <v>45043</v>
      </c>
      <c r="E88" s="7" t="s">
        <v>31</v>
      </c>
      <c r="F88" s="7" t="s">
        <v>13</v>
      </c>
      <c r="G88" s="6">
        <v>22698.11</v>
      </c>
      <c r="H88" s="6">
        <v>2</v>
      </c>
      <c r="I88" s="6">
        <v>5326.06</v>
      </c>
      <c r="J88" s="7" t="str">
        <f t="shared" si="1"/>
        <v>Profit</v>
      </c>
    </row>
    <row r="89" spans="1:10" x14ac:dyDescent="0.3">
      <c r="A89" s="4" t="s">
        <v>69</v>
      </c>
      <c r="B89" s="7" t="s">
        <v>25</v>
      </c>
      <c r="C89" s="7" t="s">
        <v>16</v>
      </c>
      <c r="D89" s="5">
        <v>45258</v>
      </c>
      <c r="E89" s="7" t="s">
        <v>12</v>
      </c>
      <c r="F89" s="7" t="s">
        <v>13</v>
      </c>
      <c r="G89" s="6">
        <v>32903.74</v>
      </c>
      <c r="H89" s="6">
        <v>3</v>
      </c>
      <c r="I89" s="6">
        <v>150.97999999999999</v>
      </c>
      <c r="J89" s="7" t="str">
        <f t="shared" si="1"/>
        <v>Profit</v>
      </c>
    </row>
    <row r="90" spans="1:10" x14ac:dyDescent="0.3">
      <c r="A90" s="4" t="s">
        <v>72</v>
      </c>
      <c r="B90" s="7" t="s">
        <v>25</v>
      </c>
      <c r="C90" s="7" t="s">
        <v>11</v>
      </c>
      <c r="D90" s="5">
        <v>45263</v>
      </c>
      <c r="E90" s="7" t="s">
        <v>12</v>
      </c>
      <c r="F90" s="7" t="s">
        <v>13</v>
      </c>
      <c r="G90" s="6">
        <v>39813.15</v>
      </c>
      <c r="H90" s="6">
        <v>5</v>
      </c>
      <c r="I90" s="6">
        <v>-277.19</v>
      </c>
      <c r="J90" s="7" t="str">
        <f t="shared" si="1"/>
        <v>loss</v>
      </c>
    </row>
    <row r="91" spans="1:10" x14ac:dyDescent="0.3">
      <c r="A91" s="4" t="s">
        <v>82</v>
      </c>
      <c r="B91" s="7" t="s">
        <v>25</v>
      </c>
      <c r="C91" s="7" t="s">
        <v>27</v>
      </c>
      <c r="D91" s="5">
        <v>45058</v>
      </c>
      <c r="E91" s="7" t="s">
        <v>33</v>
      </c>
      <c r="F91" s="7" t="s">
        <v>13</v>
      </c>
      <c r="G91" s="6">
        <v>16656.57</v>
      </c>
      <c r="H91" s="6">
        <v>2</v>
      </c>
      <c r="I91" s="6">
        <v>5609.43</v>
      </c>
      <c r="J91" s="7" t="str">
        <f t="shared" si="1"/>
        <v>Profit</v>
      </c>
    </row>
    <row r="92" spans="1:10" x14ac:dyDescent="0.3">
      <c r="A92" s="4" t="s">
        <v>91</v>
      </c>
      <c r="B92" s="7" t="s">
        <v>25</v>
      </c>
      <c r="C92" s="7" t="s">
        <v>11</v>
      </c>
      <c r="D92" s="5">
        <v>44998</v>
      </c>
      <c r="E92" s="7" t="s">
        <v>33</v>
      </c>
      <c r="F92" s="7" t="s">
        <v>18</v>
      </c>
      <c r="G92" s="6">
        <v>3029.59</v>
      </c>
      <c r="H92" s="6">
        <v>3</v>
      </c>
      <c r="I92" s="6">
        <v>-4260.25</v>
      </c>
      <c r="J92" s="7" t="str">
        <f t="shared" si="1"/>
        <v>loss</v>
      </c>
    </row>
    <row r="93" spans="1:10" x14ac:dyDescent="0.3">
      <c r="A93" s="4" t="s">
        <v>94</v>
      </c>
      <c r="B93" s="7" t="s">
        <v>25</v>
      </c>
      <c r="C93" s="7" t="s">
        <v>39</v>
      </c>
      <c r="D93" s="5">
        <v>44979</v>
      </c>
      <c r="E93" s="7" t="s">
        <v>17</v>
      </c>
      <c r="F93" s="7" t="s">
        <v>13</v>
      </c>
      <c r="G93" s="6">
        <v>35108.92</v>
      </c>
      <c r="H93" s="6">
        <v>4</v>
      </c>
      <c r="I93" s="6">
        <v>-4991.33</v>
      </c>
      <c r="J93" s="7" t="str">
        <f t="shared" si="1"/>
        <v>loss</v>
      </c>
    </row>
    <row r="94" spans="1:10" x14ac:dyDescent="0.3">
      <c r="A94" s="4" t="s">
        <v>95</v>
      </c>
      <c r="B94" s="7" t="s">
        <v>25</v>
      </c>
      <c r="C94" s="7" t="s">
        <v>39</v>
      </c>
      <c r="D94" s="5">
        <v>44994</v>
      </c>
      <c r="E94" s="7" t="s">
        <v>31</v>
      </c>
      <c r="F94" s="7" t="s">
        <v>13</v>
      </c>
      <c r="G94" s="6">
        <v>26425.62</v>
      </c>
      <c r="H94" s="6">
        <v>1</v>
      </c>
      <c r="I94" s="6">
        <v>295.29000000000002</v>
      </c>
      <c r="J94" s="7" t="str">
        <f t="shared" si="1"/>
        <v>Profit</v>
      </c>
    </row>
    <row r="95" spans="1:10" x14ac:dyDescent="0.3">
      <c r="A95" s="4" t="s">
        <v>100</v>
      </c>
      <c r="B95" s="7" t="s">
        <v>25</v>
      </c>
      <c r="C95" s="7" t="s">
        <v>11</v>
      </c>
      <c r="D95" s="5">
        <v>45221</v>
      </c>
      <c r="E95" s="7" t="s">
        <v>29</v>
      </c>
      <c r="F95" s="7" t="s">
        <v>13</v>
      </c>
      <c r="G95" s="6">
        <v>41400.339999999997</v>
      </c>
      <c r="H95" s="6">
        <v>3</v>
      </c>
      <c r="I95" s="6">
        <v>9073.36</v>
      </c>
      <c r="J95" s="7" t="str">
        <f t="shared" si="1"/>
        <v>Profit</v>
      </c>
    </row>
    <row r="96" spans="1:10" x14ac:dyDescent="0.3">
      <c r="A96" s="4" t="s">
        <v>104</v>
      </c>
      <c r="B96" s="7" t="s">
        <v>25</v>
      </c>
      <c r="C96" s="7" t="s">
        <v>39</v>
      </c>
      <c r="D96" s="5">
        <v>45059</v>
      </c>
      <c r="E96" s="7" t="s">
        <v>17</v>
      </c>
      <c r="F96" s="7" t="s">
        <v>13</v>
      </c>
      <c r="G96" s="6">
        <v>20277.55</v>
      </c>
      <c r="H96" s="6">
        <v>4</v>
      </c>
      <c r="I96" s="6">
        <v>4185.3500000000004</v>
      </c>
      <c r="J96" s="7" t="str">
        <f t="shared" si="1"/>
        <v>Profit</v>
      </c>
    </row>
    <row r="97" spans="1:10" x14ac:dyDescent="0.3">
      <c r="A97" s="4" t="s">
        <v>105</v>
      </c>
      <c r="B97" s="7" t="s">
        <v>25</v>
      </c>
      <c r="C97" s="7" t="s">
        <v>39</v>
      </c>
      <c r="D97" s="5">
        <v>44984</v>
      </c>
      <c r="E97" s="7" t="s">
        <v>17</v>
      </c>
      <c r="F97" s="7" t="s">
        <v>13</v>
      </c>
      <c r="G97" s="6">
        <v>36985.81</v>
      </c>
      <c r="H97" s="6">
        <v>2</v>
      </c>
      <c r="I97" s="6">
        <v>1479.24</v>
      </c>
      <c r="J97" s="7" t="str">
        <f t="shared" si="1"/>
        <v>Profit</v>
      </c>
    </row>
    <row r="98" spans="1:10" x14ac:dyDescent="0.3">
      <c r="A98" s="4" t="s">
        <v>114</v>
      </c>
      <c r="B98" s="7" t="s">
        <v>25</v>
      </c>
      <c r="C98" s="7" t="s">
        <v>16</v>
      </c>
      <c r="D98" s="5">
        <v>45255</v>
      </c>
      <c r="E98" s="7" t="s">
        <v>17</v>
      </c>
      <c r="F98" s="7" t="s">
        <v>18</v>
      </c>
      <c r="G98" s="6">
        <v>12930.8</v>
      </c>
      <c r="H98" s="6">
        <v>4</v>
      </c>
      <c r="I98" s="6">
        <v>491.54</v>
      </c>
      <c r="J98" s="7" t="str">
        <f t="shared" si="1"/>
        <v>Profit</v>
      </c>
    </row>
    <row r="99" spans="1:10" x14ac:dyDescent="0.3">
      <c r="A99" s="4" t="s">
        <v>115</v>
      </c>
      <c r="B99" s="7" t="s">
        <v>25</v>
      </c>
      <c r="C99" s="7" t="s">
        <v>27</v>
      </c>
      <c r="D99" s="5">
        <v>45027</v>
      </c>
      <c r="E99" s="7" t="s">
        <v>31</v>
      </c>
      <c r="F99" s="7" t="s">
        <v>13</v>
      </c>
      <c r="G99" s="6">
        <v>22458.66</v>
      </c>
      <c r="H99" s="6">
        <v>2</v>
      </c>
      <c r="I99" s="6">
        <v>-4665.17</v>
      </c>
      <c r="J99" s="7" t="str">
        <f t="shared" si="1"/>
        <v>loss</v>
      </c>
    </row>
    <row r="100" spans="1:10" x14ac:dyDescent="0.3">
      <c r="A100" s="4" t="s">
        <v>121</v>
      </c>
      <c r="B100" s="7" t="s">
        <v>25</v>
      </c>
      <c r="C100" s="7" t="s">
        <v>11</v>
      </c>
      <c r="D100" s="5">
        <v>45074</v>
      </c>
      <c r="E100" s="7" t="s">
        <v>12</v>
      </c>
      <c r="F100" s="7" t="s">
        <v>18</v>
      </c>
      <c r="G100" s="6">
        <v>34617.9</v>
      </c>
      <c r="H100" s="6">
        <v>5</v>
      </c>
      <c r="I100" s="6">
        <v>5497.01</v>
      </c>
      <c r="J100" s="7" t="str">
        <f t="shared" si="1"/>
        <v>Profit</v>
      </c>
    </row>
    <row r="101" spans="1:10" x14ac:dyDescent="0.3">
      <c r="A101" s="4" t="s">
        <v>122</v>
      </c>
      <c r="B101" s="7" t="s">
        <v>25</v>
      </c>
      <c r="C101" s="7" t="s">
        <v>21</v>
      </c>
      <c r="D101" s="5">
        <v>44963</v>
      </c>
      <c r="E101" s="7" t="s">
        <v>31</v>
      </c>
      <c r="F101" s="7" t="s">
        <v>13</v>
      </c>
      <c r="G101" s="6">
        <v>34560.019999999997</v>
      </c>
      <c r="H101" s="6">
        <v>1</v>
      </c>
      <c r="I101" s="6">
        <v>-4965.3</v>
      </c>
      <c r="J101" s="7" t="str">
        <f t="shared" si="1"/>
        <v>loss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DC6A4-DC71-49F5-B62C-4DF87212E248}">
  <dimension ref="A1:B11"/>
  <sheetViews>
    <sheetView workbookViewId="0">
      <selection activeCell="J16" sqref="J16"/>
    </sheetView>
  </sheetViews>
  <sheetFormatPr defaultRowHeight="14.4" x14ac:dyDescent="0.3"/>
  <cols>
    <col min="1" max="1" width="8.6640625" bestFit="1" customWidth="1"/>
    <col min="2" max="2" width="9.5546875" style="4" bestFit="1" customWidth="1"/>
  </cols>
  <sheetData>
    <row r="1" spans="1:2" x14ac:dyDescent="0.3">
      <c r="A1" s="10" t="s">
        <v>145</v>
      </c>
      <c r="B1" s="10" t="s">
        <v>146</v>
      </c>
    </row>
    <row r="2" spans="1:2" ht="28.8" x14ac:dyDescent="0.3">
      <c r="A2" s="1" t="s">
        <v>147</v>
      </c>
      <c r="B2" s="9">
        <v>2699544.4</v>
      </c>
    </row>
    <row r="3" spans="1:2" ht="28.8" x14ac:dyDescent="0.3">
      <c r="A3" s="1" t="s">
        <v>148</v>
      </c>
      <c r="B3" s="9">
        <v>26995.439999999999</v>
      </c>
    </row>
    <row r="4" spans="1:2" ht="28.8" x14ac:dyDescent="0.3">
      <c r="A4" s="1" t="s">
        <v>149</v>
      </c>
      <c r="B4" s="9">
        <v>49476.49</v>
      </c>
    </row>
    <row r="5" spans="1:2" x14ac:dyDescent="0.3">
      <c r="A5" s="1" t="s">
        <v>150</v>
      </c>
      <c r="B5" s="9">
        <v>1291.98</v>
      </c>
    </row>
    <row r="6" spans="1:2" ht="28.8" x14ac:dyDescent="0.3">
      <c r="A6" s="1" t="s">
        <v>151</v>
      </c>
      <c r="B6" s="9">
        <v>425164</v>
      </c>
    </row>
    <row r="7" spans="1:2" ht="28.8" x14ac:dyDescent="0.3">
      <c r="A7" s="1" t="s">
        <v>152</v>
      </c>
      <c r="B7" s="9">
        <v>4251.6400000000003</v>
      </c>
    </row>
    <row r="8" spans="1:2" ht="28.8" x14ac:dyDescent="0.3">
      <c r="A8" s="1" t="s">
        <v>153</v>
      </c>
      <c r="B8" s="9">
        <v>14892.65</v>
      </c>
    </row>
    <row r="9" spans="1:2" ht="28.8" x14ac:dyDescent="0.3">
      <c r="A9" s="1" t="s">
        <v>154</v>
      </c>
      <c r="B9" s="9">
        <v>-4991.33</v>
      </c>
    </row>
    <row r="10" spans="1:2" ht="28.8" x14ac:dyDescent="0.3">
      <c r="A10" s="1" t="s">
        <v>155</v>
      </c>
      <c r="B10" s="9">
        <v>277</v>
      </c>
    </row>
    <row r="11" spans="1:2" ht="28.8" x14ac:dyDescent="0.3">
      <c r="A11" s="1" t="s">
        <v>156</v>
      </c>
      <c r="B11" s="4">
        <v>2.77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06B7C-E584-48DB-8974-7313756F596F}">
  <dimension ref="A3:B9"/>
  <sheetViews>
    <sheetView workbookViewId="0">
      <selection activeCell="B5" sqref="B5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3" spans="1:2" x14ac:dyDescent="0.3">
      <c r="A3" s="11" t="s">
        <v>157</v>
      </c>
      <c r="B3" t="s">
        <v>159</v>
      </c>
    </row>
    <row r="4" spans="1:2" x14ac:dyDescent="0.3">
      <c r="A4" s="12" t="s">
        <v>11</v>
      </c>
      <c r="B4" s="13">
        <v>665618.67999999982</v>
      </c>
    </row>
    <row r="5" spans="1:2" x14ac:dyDescent="0.3">
      <c r="A5" s="12" t="s">
        <v>27</v>
      </c>
      <c r="B5" s="13">
        <v>623218.93000000005</v>
      </c>
    </row>
    <row r="6" spans="1:2" x14ac:dyDescent="0.3">
      <c r="A6" s="12" t="s">
        <v>16</v>
      </c>
      <c r="B6" s="13">
        <v>529876.06999999995</v>
      </c>
    </row>
    <row r="7" spans="1:2" x14ac:dyDescent="0.3">
      <c r="A7" s="12" t="s">
        <v>21</v>
      </c>
      <c r="B7" s="13">
        <v>452534.51</v>
      </c>
    </row>
    <row r="8" spans="1:2" x14ac:dyDescent="0.3">
      <c r="A8" s="12" t="s">
        <v>39</v>
      </c>
      <c r="B8" s="13">
        <v>428296.2099999999</v>
      </c>
    </row>
    <row r="9" spans="1:2" x14ac:dyDescent="0.3">
      <c r="A9" s="12" t="s">
        <v>158</v>
      </c>
      <c r="B9" s="13">
        <v>2699544.4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50FF4-1F2B-485C-9AE6-F5FEE0BCE380}">
  <dimension ref="A3:B9"/>
  <sheetViews>
    <sheetView workbookViewId="0">
      <selection activeCell="D21" sqref="D21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11" t="s">
        <v>157</v>
      </c>
      <c r="B3" t="s">
        <v>161</v>
      </c>
    </row>
    <row r="4" spans="1:2" x14ac:dyDescent="0.3">
      <c r="A4" s="12" t="s">
        <v>33</v>
      </c>
      <c r="B4" s="13">
        <v>104633.26999999999</v>
      </c>
    </row>
    <row r="5" spans="1:2" x14ac:dyDescent="0.3">
      <c r="A5" s="12" t="s">
        <v>31</v>
      </c>
      <c r="B5" s="13">
        <v>102979.8</v>
      </c>
    </row>
    <row r="6" spans="1:2" x14ac:dyDescent="0.3">
      <c r="A6" s="12" t="s">
        <v>12</v>
      </c>
      <c r="B6" s="13">
        <v>88978.81</v>
      </c>
    </row>
    <row r="7" spans="1:2" x14ac:dyDescent="0.3">
      <c r="A7" s="12" t="s">
        <v>17</v>
      </c>
      <c r="B7" s="13">
        <v>66969.48</v>
      </c>
    </row>
    <row r="8" spans="1:2" x14ac:dyDescent="0.3">
      <c r="A8" s="12" t="s">
        <v>29</v>
      </c>
      <c r="B8" s="13">
        <v>61602.640000000007</v>
      </c>
    </row>
    <row r="9" spans="1:2" x14ac:dyDescent="0.3">
      <c r="A9" s="12" t="s">
        <v>158</v>
      </c>
      <c r="B9" s="13">
        <v>425164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69181-3F09-4177-A6A0-2BBAFDA49ADB}">
  <dimension ref="A3:B6"/>
  <sheetViews>
    <sheetView zoomScale="78" workbookViewId="0">
      <selection activeCell="F25" sqref="F25"/>
    </sheetView>
  </sheetViews>
  <sheetFormatPr defaultRowHeight="14.4" x14ac:dyDescent="0.3"/>
  <cols>
    <col min="1" max="1" width="12.5546875" bestFit="1" customWidth="1"/>
    <col min="2" max="2" width="18.77734375" bestFit="1" customWidth="1"/>
    <col min="3" max="3" width="10.77734375" bestFit="1" customWidth="1"/>
  </cols>
  <sheetData>
    <row r="3" spans="1:2" x14ac:dyDescent="0.3">
      <c r="A3" s="11" t="s">
        <v>157</v>
      </c>
      <c r="B3" t="s">
        <v>162</v>
      </c>
    </row>
    <row r="4" spans="1:2" x14ac:dyDescent="0.3">
      <c r="A4" s="12" t="s">
        <v>8</v>
      </c>
      <c r="B4">
        <v>71</v>
      </c>
    </row>
    <row r="5" spans="1:2" x14ac:dyDescent="0.3">
      <c r="A5" s="12" t="s">
        <v>160</v>
      </c>
      <c r="B5">
        <v>29</v>
      </c>
    </row>
    <row r="6" spans="1:2" x14ac:dyDescent="0.3">
      <c r="A6" s="12" t="s">
        <v>158</v>
      </c>
      <c r="B6">
        <v>100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BE80-FBAF-4DF3-9ECE-6522C7A35B86}">
  <dimension ref="A1:A7"/>
  <sheetViews>
    <sheetView workbookViewId="0">
      <selection activeCell="A14" sqref="A14"/>
    </sheetView>
  </sheetViews>
  <sheetFormatPr defaultRowHeight="14.4" x14ac:dyDescent="0.3"/>
  <cols>
    <col min="1" max="1" width="79.33203125" customWidth="1"/>
  </cols>
  <sheetData>
    <row r="1" spans="1:1" ht="18" x14ac:dyDescent="0.35">
      <c r="A1" s="15" t="s">
        <v>163</v>
      </c>
    </row>
    <row r="2" spans="1:1" x14ac:dyDescent="0.3">
      <c r="A2" s="14" t="s">
        <v>164</v>
      </c>
    </row>
    <row r="3" spans="1:1" x14ac:dyDescent="0.3">
      <c r="A3" s="14" t="s">
        <v>165</v>
      </c>
    </row>
    <row r="4" spans="1:1" x14ac:dyDescent="0.3">
      <c r="A4" s="14" t="s">
        <v>166</v>
      </c>
    </row>
    <row r="5" spans="1:1" x14ac:dyDescent="0.3">
      <c r="A5" s="14" t="s">
        <v>167</v>
      </c>
    </row>
    <row r="6" spans="1:1" x14ac:dyDescent="0.3">
      <c r="A6" s="14" t="s">
        <v>168</v>
      </c>
    </row>
    <row r="7" spans="1:1" x14ac:dyDescent="0.3">
      <c r="A7" s="14" t="s">
        <v>169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539EE-9347-44F2-8D23-020BF115E3C4}">
  <dimension ref="A1:B6"/>
  <sheetViews>
    <sheetView tabSelected="1" zoomScale="145" zoomScaleNormal="145" workbookViewId="0">
      <selection activeCell="D11" sqref="D11"/>
    </sheetView>
  </sheetViews>
  <sheetFormatPr defaultRowHeight="14.4" x14ac:dyDescent="0.3"/>
  <cols>
    <col min="1" max="1" width="26.33203125" customWidth="1"/>
    <col min="2" max="2" width="18.44140625" customWidth="1"/>
  </cols>
  <sheetData>
    <row r="1" spans="1:2" x14ac:dyDescent="0.3">
      <c r="A1" s="10" t="s">
        <v>170</v>
      </c>
      <c r="B1" s="10" t="s">
        <v>146</v>
      </c>
    </row>
    <row r="2" spans="1:2" x14ac:dyDescent="0.3">
      <c r="A2" s="1" t="s">
        <v>147</v>
      </c>
      <c r="B2" s="17">
        <v>2699544</v>
      </c>
    </row>
    <row r="3" spans="1:2" x14ac:dyDescent="0.3">
      <c r="A3" s="1" t="s">
        <v>151</v>
      </c>
      <c r="B3" s="17">
        <v>425164</v>
      </c>
    </row>
    <row r="4" spans="1:2" x14ac:dyDescent="0.3">
      <c r="A4" s="1" t="s">
        <v>171</v>
      </c>
      <c r="B4" s="1">
        <v>100</v>
      </c>
    </row>
    <row r="5" spans="1:2" x14ac:dyDescent="0.3">
      <c r="A5" s="1" t="s">
        <v>155</v>
      </c>
      <c r="B5" s="1">
        <v>277</v>
      </c>
    </row>
    <row r="6" spans="1:2" x14ac:dyDescent="0.3">
      <c r="A6" s="1" t="s">
        <v>172</v>
      </c>
      <c r="B6" s="18">
        <v>0.1575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 set</vt:lpstr>
      <vt:lpstr>Data dictionary</vt:lpstr>
      <vt:lpstr>cleaned data set</vt:lpstr>
      <vt:lpstr>EDA summary</vt:lpstr>
      <vt:lpstr>Sales By City</vt:lpstr>
      <vt:lpstr>Profit By Product</vt:lpstr>
      <vt:lpstr>Profit vs Loss</vt:lpstr>
      <vt:lpstr>Insights</vt:lpstr>
      <vt:lpstr>KPI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2026-04-01T11:48:54Z</dcterms:created>
  <dcterms:modified xsi:type="dcterms:W3CDTF">2026-04-30T15:41:40Z</dcterms:modified>
</cp:coreProperties>
</file>